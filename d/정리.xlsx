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품" sheetId="1" r:id="rId4"/>
    <sheet state="visible" name="월별" sheetId="2" r:id="rId5"/>
    <sheet state="visible" name="정산" sheetId="3" r:id="rId6"/>
    <sheet state="visible" name="택배" sheetId="4" r:id="rId7"/>
    <sheet state="visible" name="_정산" sheetId="5" r:id="rId8"/>
    <sheet state="visible" name="세금" sheetId="6" r:id="rId9"/>
    <sheet state="visible" name="판매수수료" sheetId="7" r:id="rId10"/>
  </sheets>
  <definedNames>
    <definedName hidden="1" localSheetId="6" name="_xlnm._FilterDatabase">'판매수수료'!$A$1:$AB$150</definedName>
  </definedNames>
  <calcPr/>
  <extLst>
    <ext uri="GoogleSheetsCustomDataVersion2">
      <go:sheetsCustomData xmlns:go="http://customooxmlschemas.google.com/" r:id="rId11" roundtripDataChecksum="Di/6UaJkPkXOiULX2pLQBz4cUU8Q1d1oKv75Enkw6oA="/>
    </ext>
  </extLst>
</workbook>
</file>

<file path=xl/sharedStrings.xml><?xml version="1.0" encoding="utf-8"?>
<sst xmlns="http://schemas.openxmlformats.org/spreadsheetml/2006/main" count="1617" uniqueCount="448">
  <si>
    <t>상품</t>
  </si>
  <si>
    <t>구성</t>
  </si>
  <si>
    <t>매입</t>
  </si>
  <si>
    <t>배송</t>
  </si>
  <si>
    <t>매출(쿠팡)</t>
  </si>
  <si>
    <t>이익</t>
  </si>
  <si>
    <t>포장지</t>
  </si>
  <si>
    <t>판매 상태</t>
  </si>
  <si>
    <t>비고</t>
  </si>
  <si>
    <t>구매일자</t>
  </si>
  <si>
    <t>단가</t>
  </si>
  <si>
    <t>수량</t>
  </si>
  <si>
    <t>배송비</t>
  </si>
  <si>
    <t>할인</t>
  </si>
  <si>
    <t>금액</t>
  </si>
  <si>
    <t>포장비</t>
  </si>
  <si>
    <t>총금액</t>
  </si>
  <si>
    <t>원가</t>
  </si>
  <si>
    <t>결제</t>
  </si>
  <si>
    <t>발송일</t>
  </si>
  <si>
    <t>입고비</t>
  </si>
  <si>
    <t>판매개시</t>
  </si>
  <si>
    <t>구성수량</t>
  </si>
  <si>
    <t>입고수량</t>
  </si>
  <si>
    <t>정가</t>
  </si>
  <si>
    <t>할인쿠폰</t>
  </si>
  <si>
    <t>판매가</t>
  </si>
  <si>
    <t>판매수수료(%)</t>
  </si>
  <si>
    <t>수수료(부가세포함)</t>
  </si>
  <si>
    <t>입출고비</t>
  </si>
  <si>
    <t>정산금(세트당)</t>
  </si>
  <si>
    <t>부가세</t>
  </si>
  <si>
    <t>샘플비용</t>
  </si>
  <si>
    <t>순이익(세트당)</t>
  </si>
  <si>
    <t xml:space="preserve">	마진율(%)</t>
  </si>
  <si>
    <t>최종 합계수익</t>
  </si>
  <si>
    <t>개당</t>
  </si>
  <si>
    <t>판매량</t>
  </si>
  <si>
    <t>재고량</t>
  </si>
  <si>
    <t>상태</t>
  </si>
  <si>
    <t>입출고비/배송비 이벤트 종료(26.05.11)</t>
  </si>
  <si>
    <t>1.루즈핏 니삭스</t>
  </si>
  <si>
    <t>블랙+화이트+그레이 (3종)</t>
  </si>
  <si>
    <t>26.02.02</t>
  </si>
  <si>
    <t>카카오(개인)</t>
  </si>
  <si>
    <t>26.02.05</t>
  </si>
  <si>
    <t>국민</t>
  </si>
  <si>
    <t>26.02.09</t>
  </si>
  <si>
    <t>완판</t>
  </si>
  <si>
    <t>26.02.09~26.03.21</t>
  </si>
  <si>
    <t>26.03.12</t>
  </si>
  <si>
    <t>26.03.18</t>
  </si>
  <si>
    <t>26.03.19</t>
  </si>
  <si>
    <t>26.03.22~26.04.01</t>
  </si>
  <si>
    <t>26.03.23</t>
  </si>
  <si>
    <t>26.03.25</t>
  </si>
  <si>
    <t>26.03.31</t>
  </si>
  <si>
    <t>26.04.02~26.04.12</t>
  </si>
  <si>
    <t>26.04.03</t>
  </si>
  <si>
    <t>토스</t>
  </si>
  <si>
    <t>26.04.06</t>
  </si>
  <si>
    <t>26.04.10</t>
  </si>
  <si>
    <t>26.04.13~26.04.21</t>
  </si>
  <si>
    <t>26.04.17</t>
  </si>
  <si>
    <t>계좌이체</t>
  </si>
  <si>
    <t>26.04.20</t>
  </si>
  <si>
    <t>카카오</t>
  </si>
  <si>
    <t>26.04.22</t>
  </si>
  <si>
    <t>1차입고(20):26.04.20, 2차입고(10):26.04.28, 3차입고(10):26.04.30</t>
  </si>
  <si>
    <t>26.04.22~26.05.12</t>
  </si>
  <si>
    <t>26.04.29</t>
  </si>
  <si>
    <t>26.05.04</t>
  </si>
  <si>
    <t>26.05.06</t>
  </si>
  <si>
    <t>26.05.12~26.05.19</t>
  </si>
  <si>
    <t>26.05.09</t>
  </si>
  <si>
    <t>26.05.13</t>
  </si>
  <si>
    <t>판매중</t>
  </si>
  <si>
    <t>1차입고(35):26.05.13, 2차입고(30-1):26.05.22, 3차입고(6):26.05.29, 4차입고(4):26.06.05</t>
  </si>
  <si>
    <t>26.05.19~</t>
  </si>
  <si>
    <t>입고중1</t>
  </si>
  <si>
    <t>2.팔찌 머리끈</t>
  </si>
  <si>
    <t>컬러혼합(36p)</t>
  </si>
  <si>
    <t>26.02.23</t>
  </si>
  <si>
    <t xml:space="preserve">3.자석 버클 스카프 </t>
  </si>
  <si>
    <t>오렌지+블랙+그린(3종)</t>
  </si>
  <si>
    <t>26.03.07</t>
  </si>
  <si>
    <t>가을 재입고</t>
  </si>
  <si>
    <t>4.꽃자수 페이크삭스</t>
  </si>
  <si>
    <t>블랙+스틴+블루+화이트(4종)</t>
  </si>
  <si>
    <t>26.05.01~26.05.16</t>
  </si>
  <si>
    <t>26.05.17</t>
  </si>
  <si>
    <t>26.05.17~26.06.05</t>
  </si>
  <si>
    <t>재입고</t>
  </si>
  <si>
    <t>26.06.15</t>
  </si>
  <si>
    <t>재입고예정</t>
  </si>
  <si>
    <t>5.무지 볼캡 야구모자</t>
  </si>
  <si>
    <t>블랙+베이지+화이트(3종)</t>
  </si>
  <si>
    <t>판매중지예정</t>
  </si>
  <si>
    <t>반출신청</t>
  </si>
  <si>
    <t>6.니트 썸머 버킷햇</t>
  </si>
  <si>
    <t>아이보리+블랙(2종)</t>
  </si>
  <si>
    <t>26.04.16</t>
  </si>
  <si>
    <t>26.04.18</t>
  </si>
  <si>
    <t>26.04.26~</t>
  </si>
  <si>
    <t>오렌지브라운+블랙(2종)</t>
  </si>
  <si>
    <t>7.국산양말</t>
  </si>
  <si>
    <t>7컬러(7종)</t>
  </si>
  <si>
    <t>26.04.07</t>
  </si>
  <si>
    <t>26.04.24~</t>
  </si>
  <si>
    <t>8.쿨토시</t>
  </si>
  <si>
    <t>화이트(2종)</t>
  </si>
  <si>
    <t>26.04.28</t>
  </si>
  <si>
    <t>26.04.30</t>
  </si>
  <si>
    <t>판매중지예정(2개 입출고비(800)/배송비(1350) 부가됨)</t>
  </si>
  <si>
    <t>9.양산(단품)</t>
  </si>
  <si>
    <t>베이지</t>
  </si>
  <si>
    <t>핑크</t>
  </si>
  <si>
    <t>블랙</t>
  </si>
  <si>
    <t>10.헤어집게</t>
  </si>
  <si>
    <t>블루+옐로우+핑크(3종)</t>
  </si>
  <si>
    <t>26.05.11~</t>
  </si>
  <si>
    <t>퍼블+아이보리+팟핑크(3종)</t>
  </si>
  <si>
    <t>11.시스루양말</t>
  </si>
  <si>
    <t>화이트+크림+블랙(3종)</t>
  </si>
  <si>
    <t>입출고비/배송비 이벤트 45일간(26.05.17)</t>
  </si>
  <si>
    <t>12.헤어곱창밴드</t>
  </si>
  <si>
    <t>화이트+블랙(2종)</t>
  </si>
  <si>
    <t>26.05.23</t>
  </si>
  <si>
    <t>26.05.22</t>
  </si>
  <si>
    <t>입출고비/배송비 이벤트 45일간(26.05.22)</t>
  </si>
  <si>
    <t>미정</t>
  </si>
  <si>
    <t>13.파스텔헤어끈</t>
  </si>
  <si>
    <t>12컬러(12종)</t>
  </si>
  <si>
    <t>26.05.11</t>
  </si>
  <si>
    <t>14.메쉬양말</t>
  </si>
  <si>
    <t>화이트+아이보리+블랙(3종)</t>
  </si>
  <si>
    <t>26.06.01</t>
  </si>
  <si>
    <t>합계</t>
  </si>
  <si>
    <t>날짜</t>
  </si>
  <si>
    <t>운영비(사비)</t>
  </si>
  <si>
    <t>캐시백</t>
  </si>
  <si>
    <t>비용</t>
  </si>
  <si>
    <t>정산</t>
  </si>
  <si>
    <t>세금</t>
  </si>
  <si>
    <t>수익</t>
  </si>
  <si>
    <t>상품구매(양말) / 할인받음</t>
  </si>
  <si>
    <t>상품구매(머리끈)</t>
  </si>
  <si>
    <t>지퍼백/60개</t>
  </si>
  <si>
    <t>2월 소계</t>
  </si>
  <si>
    <t>상품구매(스카프)</t>
  </si>
  <si>
    <t>26.03.08</t>
  </si>
  <si>
    <t>사업자통장개설</t>
  </si>
  <si>
    <t>26.03.10</t>
  </si>
  <si>
    <t>포장지/사용안함</t>
  </si>
  <si>
    <t>상품구매(양말,덧신)</t>
  </si>
  <si>
    <t>26.03.17</t>
  </si>
  <si>
    <t>쿠팡입고택배비</t>
  </si>
  <si>
    <t>상품구매(양말)</t>
  </si>
  <si>
    <t>판매(2026-02-09~2026-02-15) - 70%</t>
  </si>
  <si>
    <t>토스-&gt;카카오(개인)</t>
  </si>
  <si>
    <t>상품구매(야구모자)</t>
  </si>
  <si>
    <t>3월 소계</t>
  </si>
  <si>
    <t>26.04.01</t>
  </si>
  <si>
    <t>판매(2026-02-09~2026-02-15) - 30%</t>
  </si>
  <si>
    <t>사업운영비</t>
  </si>
  <si>
    <t>26.04.02</t>
  </si>
  <si>
    <t>상품구매(벙거지모자,양말)</t>
  </si>
  <si>
    <t>판매(2026-03-02~2026-03-08) - 70%</t>
  </si>
  <si>
    <t>26.04.04</t>
  </si>
  <si>
    <t>포장지/200매</t>
  </si>
  <si>
    <t>26.04.05</t>
  </si>
  <si>
    <t>상품구매(국내산양말-네이버)</t>
  </si>
  <si>
    <t>판매(2026-03-09~2026-03-15) - 70%</t>
  </si>
  <si>
    <t>26.04.15</t>
  </si>
  <si>
    <t>토스-&gt;카카오</t>
  </si>
  <si>
    <t>상품구매(양산,쿨토시)</t>
  </si>
  <si>
    <t>상품구매(양말*120)</t>
  </si>
  <si>
    <t>판매(2026-03-16~2026-03-22) - 70%</t>
  </si>
  <si>
    <t>상품구매(시스루양말,헤어집게)</t>
  </si>
  <si>
    <t>26.04.19</t>
  </si>
  <si>
    <t>26.04.23</t>
  </si>
  <si>
    <t>26.04.24</t>
  </si>
  <si>
    <t>판매(2026-03-23~2026-03-29) - 70%</t>
  </si>
  <si>
    <t>26.04.25</t>
  </si>
  <si>
    <t>상품구매(국산양말)</t>
  </si>
  <si>
    <t>네이버</t>
  </si>
  <si>
    <t>26.04.27</t>
  </si>
  <si>
    <t>상품구매(양말*45)</t>
  </si>
  <si>
    <t>상품구매(벙거지모자)</t>
  </si>
  <si>
    <t>4월 소계</t>
  </si>
  <si>
    <t>26.05.01</t>
  </si>
  <si>
    <t>통장이자</t>
  </si>
  <si>
    <t>26.05.03</t>
  </si>
  <si>
    <t>판매(2026-03-02~2026-03-08) - 30%</t>
  </si>
  <si>
    <t>판매(2026-03-09~2026-03-15) - 30%</t>
  </si>
  <si>
    <t>판매(2026-03-16~2026-03-22) - 30%</t>
  </si>
  <si>
    <t>판매(2026-03-23~2026-03-29) - 30%</t>
  </si>
  <si>
    <t>판매(2026-04-01~2026-04-05) - 70%</t>
  </si>
  <si>
    <t>상품구매(덧신,헤어밴드,스카프)</t>
  </si>
  <si>
    <t>두인양말취소건</t>
  </si>
  <si>
    <t>상품구매(양말*225)</t>
  </si>
  <si>
    <t>26.05.08</t>
  </si>
  <si>
    <t>라벨용지구매</t>
  </si>
  <si>
    <t>상품구매(헤어악세사리)</t>
  </si>
  <si>
    <t>26.05.12</t>
  </si>
  <si>
    <t>판매(2026-04-01~2026-04-05) - 30%</t>
  </si>
  <si>
    <t>판매(2026-04-06~2026-04-12) - 70%</t>
  </si>
  <si>
    <t>26.05.15</t>
  </si>
  <si>
    <t>상품구매(양말-신규)</t>
  </si>
  <si>
    <t>26.05.19</t>
  </si>
  <si>
    <t>판매(2026-04-13~2026-04-19) - 70%</t>
  </si>
  <si>
    <t>26.05.26</t>
  </si>
  <si>
    <t>26.05.27</t>
  </si>
  <si>
    <t>판매(2026-04-20~2026-04-26) - 70%</t>
  </si>
  <si>
    <t>사업운영비 회수</t>
  </si>
  <si>
    <t>5월 소계</t>
  </si>
  <si>
    <t>판매(2026-04-06~2026-04-12) - 30%</t>
  </si>
  <si>
    <t>판매(2026-04-13~2026-04-19) - 30%</t>
  </si>
  <si>
    <t>판매(2026-04-20~2026-04-26) - 30%</t>
  </si>
  <si>
    <t>상품구매(양말*120+메쉬30)</t>
  </si>
  <si>
    <t>26.06.02</t>
  </si>
  <si>
    <t>판매(2026-04-27~2026-04-30) - 70%</t>
  </si>
  <si>
    <t>판매(2026-05-01~2026-05-03) - 70%</t>
  </si>
  <si>
    <t>26.06.04</t>
  </si>
  <si>
    <t>상품구매(덧신,헤어밴드)</t>
  </si>
  <si>
    <t>26.06.05</t>
  </si>
  <si>
    <t>26.06.07</t>
  </si>
  <si>
    <t>A4구매</t>
  </si>
  <si>
    <t>26.06.09</t>
  </si>
  <si>
    <t>판매(2026-05-04~2026-05-10) - 70%</t>
  </si>
  <si>
    <t>26.06.10</t>
  </si>
  <si>
    <t>판매(2026-04-27~2026-04-30) - 30%</t>
  </si>
  <si>
    <t>상품구매(헤어집게,머리끈)</t>
  </si>
  <si>
    <t>상품구매(덧신)</t>
  </si>
  <si>
    <t>26.06.16</t>
  </si>
  <si>
    <t>판매(2026-05-11~2026-05-17) - 70%</t>
  </si>
  <si>
    <t>26.06.23</t>
  </si>
  <si>
    <t>판매(2026-05-18~2026-05-24) - 70%</t>
  </si>
  <si>
    <t>26.06.29</t>
  </si>
  <si>
    <t>판매(2026-05-25~2026-05-31) - 100%</t>
  </si>
  <si>
    <t>6월 소계</t>
  </si>
  <si>
    <t>26.07.01</t>
  </si>
  <si>
    <t>판매(2026-05-04~2026-05-10) - 30%</t>
  </si>
  <si>
    <t>판매(2026-05-11~2026-05-17) - 30%</t>
  </si>
  <si>
    <t>판매(2026-05-18~2026-05-24) - 30%</t>
  </si>
  <si>
    <t>26.07.03</t>
  </si>
  <si>
    <t>26.07.10</t>
  </si>
  <si>
    <t>26.07.20</t>
  </si>
  <si>
    <t>7월 소계</t>
  </si>
  <si>
    <t>정산일</t>
  </si>
  <si>
    <t>지급비율</t>
  </si>
  <si>
    <t>매출기간</t>
  </si>
  <si>
    <t>월별지급액</t>
  </si>
  <si>
    <t>최종지급액</t>
  </si>
  <si>
    <t>매출금액</t>
  </si>
  <si>
    <t>판매수수료</t>
  </si>
  <si>
    <t>판매자할인쿠폰</t>
  </si>
  <si>
    <t>판매기준 매출액</t>
  </si>
  <si>
    <t>쿠팡 비용</t>
  </si>
  <si>
    <t>재고손실보상</t>
  </si>
  <si>
    <t>지급액</t>
  </si>
  <si>
    <t>차액</t>
  </si>
  <si>
    <t>판매상품</t>
  </si>
  <si>
    <t>취소상품</t>
  </si>
  <si>
    <t>반품상품</t>
  </si>
  <si>
    <t>판매액</t>
  </si>
  <si>
    <t>취소액</t>
  </si>
  <si>
    <t>즉시할인쿠폰</t>
  </si>
  <si>
    <t>다운로드쿠폰</t>
  </si>
  <si>
    <t>매출조정</t>
  </si>
  <si>
    <t>정산차감(반품)</t>
  </si>
  <si>
    <t>보관비</t>
  </si>
  <si>
    <t>반품회수비</t>
  </si>
  <si>
    <t>반품재입고비</t>
  </si>
  <si>
    <t>반출비</t>
  </si>
  <si>
    <t>반출배송서비스비</t>
  </si>
  <si>
    <t>비용합계</t>
  </si>
  <si>
    <t>2026-02-09~2026-02-15</t>
  </si>
  <si>
    <t>양말*1</t>
  </si>
  <si>
    <t>2026-03-02~2026-03-08</t>
  </si>
  <si>
    <t>2026-03-09~2026-03-15</t>
  </si>
  <si>
    <t>양말*2</t>
  </si>
  <si>
    <t>2026-03-16~2026-03-22</t>
  </si>
  <si>
    <t>2026-03-23~2026-03-29</t>
  </si>
  <si>
    <t>스카프*1</t>
  </si>
  <si>
    <t>2026-04-01~2026-04-05</t>
  </si>
  <si>
    <t>반품1</t>
  </si>
  <si>
    <t>양말*5,스카프*1</t>
  </si>
  <si>
    <t>2026-04-06~2026-04-12</t>
  </si>
  <si>
    <t xml:space="preserve"> 차감 대상 마이너스 매출(70%)</t>
  </si>
  <si>
    <t>양말*2,스카프*1</t>
  </si>
  <si>
    <t>2026-04-13~2026-04-19</t>
  </si>
  <si>
    <t>양말*8, 양말*1(반품)</t>
  </si>
  <si>
    <t>2026-04-20~2026-04-26</t>
  </si>
  <si>
    <t>양말*6,머리끈*4,모자*1,국산*1</t>
  </si>
  <si>
    <t xml:space="preserve"> 차감 대상 마이너스 매출(30%)</t>
  </si>
  <si>
    <t>2026-04-27~2026-04-30</t>
  </si>
  <si>
    <t>양말*7, 양말*1(반품),모자*1</t>
  </si>
  <si>
    <t>2026-05-01~2026-05-03</t>
  </si>
  <si>
    <t>양말*6, 양말*1(반품),메쉬*3</t>
  </si>
  <si>
    <t>양말*4
집게*2
토시*1</t>
  </si>
  <si>
    <t>2026-05-04~2026-05-10</t>
  </si>
  <si>
    <t>양말*14, 토시*2,집게*1</t>
  </si>
  <si>
    <t>양말*1,토시*1</t>
  </si>
  <si>
    <t>2026-05-11~2026-05-17</t>
  </si>
  <si>
    <t>양말*15, 토시*2,집게*3,메쉬*1</t>
  </si>
  <si>
    <t>2026-05-18~2026-05-24</t>
  </si>
  <si>
    <t>양말*16, 곱창*1,메쉬*2,집게*1</t>
  </si>
  <si>
    <t>집게*1</t>
  </si>
  <si>
    <t>2026-05-25~2026-05-31</t>
  </si>
  <si>
    <t>도착지</t>
  </si>
  <si>
    <t>인수</t>
  </si>
  <si>
    <t>배송완료</t>
  </si>
  <si>
    <t>26.03.18(수)</t>
  </si>
  <si>
    <t>경북칠곡지천</t>
  </si>
  <si>
    <t>2026.03.18 11:15:01</t>
  </si>
  <si>
    <t>2026.03.19 11:22:46</t>
  </si>
  <si>
    <t>26.03.26(목)</t>
  </si>
  <si>
    <t>경기광주오포</t>
  </si>
  <si>
    <t>2026.03.26 11:04:35</t>
  </si>
  <si>
    <t>2026.03.28 12:26:27</t>
  </si>
  <si>
    <t>26.04.06(월)</t>
  </si>
  <si>
    <t>경남진해장천</t>
  </si>
  <si>
    <t>2026.04.06 13:36:26</t>
  </si>
  <si>
    <t>2026.04.07 10:50:34</t>
  </si>
  <si>
    <t>26.04.16(목)</t>
  </si>
  <si>
    <t>2026.04.16 11:38:46</t>
  </si>
  <si>
    <t>2026.04.17 09:27:41</t>
  </si>
  <si>
    <t>26.04.20(월)</t>
  </si>
  <si>
    <t>2026.04.20 13:53:26</t>
  </si>
  <si>
    <t>내역</t>
  </si>
  <si>
    <t>판매수량</t>
  </si>
  <si>
    <t>총판매가</t>
  </si>
  <si>
    <t>비용(수수료)</t>
  </si>
  <si>
    <t>매출액</t>
  </si>
  <si>
    <t>마진율</t>
  </si>
  <si>
    <t>순이익</t>
  </si>
  <si>
    <t>판매수</t>
  </si>
  <si>
    <t>반품수</t>
  </si>
  <si>
    <t>잔여수</t>
  </si>
  <si>
    <t>상품구매</t>
  </si>
  <si>
    <t>소장용(3개)</t>
  </si>
  <si>
    <t>입고배송</t>
  </si>
  <si>
    <t>상품구매(추가)</t>
  </si>
  <si>
    <t>100개(2) / 9,800 = 98</t>
  </si>
  <si>
    <t>100개(5) / 9,800 = 98</t>
  </si>
  <si>
    <t>26.03.26</t>
  </si>
  <si>
    <t>토스-&gt;카뱅</t>
  </si>
  <si>
    <t>100개(10) / 9,800 = 980</t>
  </si>
  <si>
    <t>11,900원*10.5%= 1249.5/1250*부가세(10%)=1375원 나중에 125원 돌려받음</t>
  </si>
  <si>
    <t>양말(니삭스3종)</t>
  </si>
  <si>
    <t>판매개시 26.02.09</t>
  </si>
  <si>
    <t>소장용(20개)</t>
  </si>
  <si>
    <t>포장지(지퍼백)</t>
  </si>
  <si>
    <t>60개 / 8,400 = 140</t>
  </si>
  <si>
    <t>머리끈(36p)</t>
  </si>
  <si>
    <t>100개(3) / 9,800 = 98</t>
  </si>
  <si>
    <t>26.03.10 : 포장지(카카오) : 10,800 - 미사용</t>
  </si>
  <si>
    <t>스카프(3종)</t>
  </si>
  <si>
    <t>소장용(5개)</t>
  </si>
  <si>
    <t>양말(덧신4종)</t>
  </si>
  <si>
    <t>판매개시 26.03.19</t>
  </si>
  <si>
    <t>200개(4) / 16,500 = 83</t>
  </si>
  <si>
    <t>야구모자(3종)</t>
  </si>
  <si>
    <t>200개(6) / 16,500 = 83</t>
  </si>
  <si>
    <t>입고예정</t>
  </si>
  <si>
    <t>벙거지모자(2종)</t>
  </si>
  <si>
    <t>정상가 36,000원 / 판매가 20,800원 / 할인쿠폰 1,000원</t>
  </si>
  <si>
    <t>100개(4) / 9,800 = 98</t>
  </si>
  <si>
    <t>양말(7종)</t>
  </si>
  <si>
    <t>정상가 29,700원 / 판매가 19,800원 / 할인쿠폰 1,000원</t>
  </si>
  <si>
    <t>총합계</t>
  </si>
  <si>
    <t>구분 </t>
  </si>
  <si>
    <t>신고 대상 기간</t>
  </si>
  <si>
    <t>신고 및 납부 기간</t>
  </si>
  <si>
    <t>확인</t>
  </si>
  <si>
    <t>부가세 (1기)</t>
  </si>
  <si>
    <t>1월 1일 ~ 6월 30일</t>
  </si>
  <si>
    <t>7월 1일 ~ 7월 25일</t>
  </si>
  <si>
    <t>일반과세자 해당</t>
  </si>
  <si>
    <t>0으로 신고 완료</t>
  </si>
  <si>
    <t>부가세 (2기)</t>
  </si>
  <si>
    <t>7월 1일 ~ 12월 31일</t>
  </si>
  <si>
    <t>다음 해 1월 1일 ~ 1월 25일</t>
  </si>
  <si>
    <t>일반/간이과세자 모두 해당</t>
  </si>
  <si>
    <t>종합소득세</t>
  </si>
  <si>
    <t>1월 1일 ~ 12월 31일</t>
  </si>
  <si>
    <t>다음 해 5월 1일 ~ 5월 31일</t>
  </si>
  <si>
    <t>전년도 전체 소득 합산 신고</t>
  </si>
  <si>
    <t>1) 사업자등록증 발급</t>
  </si>
  <si>
    <t>2) 통신판매업 신고 : 수수료</t>
  </si>
  <si>
    <t xml:space="preserve">  - 최초 신고 시: 신고증을 받기 전(또는 수령 시)에 한 번 납부</t>
  </si>
  <si>
    <t xml:space="preserve">  - 정기분: 매년 1월 1일 기준 사업을 유지하고 있다면 매년 1월에 정기적으로 부과</t>
  </si>
  <si>
    <t>정산유형</t>
  </si>
  <si>
    <t>정산주기(종료일)</t>
  </si>
  <si>
    <t>세금계산서 발행월</t>
  </si>
  <si>
    <t>발생일(결제완료일)</t>
  </si>
  <si>
    <t>매출인식일</t>
  </si>
  <si>
    <t>주문ID</t>
  </si>
  <si>
    <t>거래유형</t>
  </si>
  <si>
    <t>카테고리ID</t>
  </si>
  <si>
    <t>카테고리명</t>
  </si>
  <si>
    <t>과세유형</t>
  </si>
  <si>
    <t>등록상품 ID</t>
  </si>
  <si>
    <t>옵션ID</t>
  </si>
  <si>
    <t>SKU ID</t>
  </si>
  <si>
    <t>등록상품명</t>
  </si>
  <si>
    <t>옵션명</t>
  </si>
  <si>
    <t>판매가(A)</t>
  </si>
  <si>
    <t>판매수량(B)</t>
  </si>
  <si>
    <t>판매액(A*B)</t>
  </si>
  <si>
    <t>쿠팡지원할인(C)</t>
  </si>
  <si>
    <t>매출금액(A*B-C)</t>
  </si>
  <si>
    <t>즉시할인쿠폰(D)</t>
  </si>
  <si>
    <t>다운로드쿠폰(E)</t>
  </si>
  <si>
    <t>판매자할인쿠폰(D+E)</t>
  </si>
  <si>
    <t>정산대상액</t>
  </si>
  <si>
    <t>판매수수료율(%,VAT별도)</t>
  </si>
  <si>
    <t>할인적용 판매수수료율(%,VAT별도)</t>
  </si>
  <si>
    <t>판매수수료 VAT</t>
  </si>
  <si>
    <t>주정산</t>
  </si>
  <si>
    <t>주문 정산</t>
  </si>
  <si>
    <t>양말</t>
  </si>
  <si>
    <t>과세</t>
  </si>
  <si>
    <t>루즈핏 골지 주름 니삭스 1+1+1 세트</t>
  </si>
  <si>
    <t>FREE SIZE 블랙+화이트+연그레이</t>
  </si>
  <si>
    <t>머플러/스카프</t>
  </si>
  <si>
    <t>영디셀 마그네틱 자석 버클 쁘띠 사각 여성 스카프 3종</t>
  </si>
  <si>
    <t>FREE 오렌지+블랙+그린</t>
  </si>
  <si>
    <t>주문 정산취소</t>
  </si>
  <si>
    <t>머리핀/머리끈</t>
  </si>
  <si>
    <t>영디셀 컬러풀 트위스트 꼬임 팔찌 머리끈 36p 세트</t>
  </si>
  <si>
    <t>컬러혼합 x 36p</t>
  </si>
  <si>
    <t>영디셀 [국산] 순면 골지 중목 7켤레 세트 데일리 무지 학생 양말</t>
  </si>
  <si>
    <t>FREE 화이트,아이보리,오토밀,옐로우,연보라,차콜,블랙</t>
  </si>
  <si>
    <t>모자</t>
  </si>
  <si>
    <t>영디셀 [1+1] 여성 벙거지 모자 펀칭 니트 썸머 버킷햇 통기성 데일리 햇</t>
  </si>
  <si>
    <t>FREE 아이보리+블랙</t>
  </si>
  <si>
    <t>영디셀 여성 여름 메쉬 꽃자수 페이크삭스 실리콘 미끄럼방지 덧신 양말 4종</t>
  </si>
  <si>
    <t>FREE 블랙+스킨+블루+화이트</t>
  </si>
  <si>
    <t>팔토시/쿨토시/손등토시</t>
  </si>
  <si>
    <t>영디셀 [1+1] 쿨토시 손등형 자외선차단 냉감 팔토시 운전 라이딩 UPF50+</t>
  </si>
  <si>
    <t>화이트 FREE 2개</t>
  </si>
  <si>
    <t>영디셀 [3종] 물결 마카롱 헤어집게 올림머리 집게핀 세트</t>
  </si>
  <si>
    <t>퍼블+아이보리+핫핑크</t>
  </si>
  <si>
    <t>블루+옐로우+핑크</t>
  </si>
  <si>
    <t>영디셀 [1+1] 큐빅 쉬폰 빅 스크런치 곱창밴드 세트</t>
  </si>
  <si>
    <t>크림+블랙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</si>
</sst>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29">
    <font>
      <sz val="11.0"/>
      <color theme="1"/>
      <name val="Calibri"/>
      <scheme val="minor"/>
    </font>
    <font>
      <sz val="9.0"/>
      <color theme="1"/>
      <name val="Calibri"/>
      <scheme val="minor"/>
    </font>
    <font>
      <b/>
      <sz val="9.0"/>
      <color theme="1"/>
      <name val="Calibri"/>
      <scheme val="minor"/>
    </font>
    <font>
      <sz val="9.0"/>
      <color rgb="FFFF0000"/>
      <name val="Calibri"/>
      <scheme val="minor"/>
    </font>
    <font>
      <b/>
      <sz val="9.0"/>
      <color rgb="FF4A86E8"/>
      <name val="Calibri"/>
      <scheme val="minor"/>
    </font>
    <font>
      <b/>
      <sz val="9.0"/>
      <color rgb="FFFF0000"/>
      <name val="Calibri"/>
      <scheme val="minor"/>
    </font>
    <font>
      <b/>
      <sz val="9.0"/>
      <color rgb="FF9900FF"/>
      <name val="Calibri"/>
      <scheme val="minor"/>
    </font>
    <font>
      <sz val="9.0"/>
      <color rgb="FF999999"/>
      <name val="Calibri"/>
      <scheme val="minor"/>
    </font>
    <font>
      <b/>
      <sz val="9.0"/>
      <color rgb="FF999999"/>
      <name val="Calibri"/>
      <scheme val="minor"/>
    </font>
    <font>
      <sz val="9.0"/>
      <color rgb="FF000000"/>
      <name val="Calibri"/>
      <scheme val="minor"/>
    </font>
    <font>
      <sz val="9.0"/>
      <color rgb="FFE69138"/>
      <name val="Calibri"/>
      <scheme val="minor"/>
    </font>
    <font>
      <b/>
      <sz val="9.0"/>
      <color rgb="FFE69138"/>
      <name val="Calibri"/>
      <scheme val="minor"/>
    </font>
    <font>
      <sz val="9.0"/>
      <color rgb="FFCCCCCC"/>
      <name val="Calibri"/>
      <scheme val="minor"/>
    </font>
    <font>
      <b/>
      <sz val="9.0"/>
      <color rgb="FFF1C232"/>
      <name val="Calibri"/>
      <scheme val="minor"/>
    </font>
    <font>
      <sz val="9.0"/>
      <color rgb="FF0000FF"/>
      <name val="Calibri"/>
      <scheme val="minor"/>
    </font>
    <font>
      <b/>
      <sz val="9.0"/>
      <color rgb="FFCC0000"/>
      <name val="Calibri"/>
      <scheme val="minor"/>
    </font>
    <font>
      <sz val="9.0"/>
      <color theme="1"/>
      <name val="Arial"/>
    </font>
    <font>
      <strike/>
      <sz val="9.0"/>
      <color theme="1"/>
      <name val="Arial"/>
    </font>
    <font>
      <sz val="9.0"/>
      <color rgb="FF111111"/>
      <name val="Arial"/>
    </font>
    <font>
      <sz val="9.0"/>
      <color rgb="FF000000"/>
      <name val="&quot;Coupang Sans&quot;"/>
    </font>
    <font>
      <sz val="9.0"/>
      <color rgb="FF000000"/>
      <name val="Arial"/>
    </font>
    <font>
      <color theme="1"/>
      <name val="Calibri"/>
      <scheme val="minor"/>
    </font>
    <font>
      <sz val="11.0"/>
      <color rgb="FF424242"/>
      <name val="-apple-system"/>
    </font>
    <font>
      <sz val="10.0"/>
      <color theme="1"/>
      <name val="Calibri"/>
      <scheme val="minor"/>
    </font>
    <font>
      <b/>
      <sz val="9.0"/>
      <color rgb="FF0A0A0A"/>
      <name val="Arial"/>
    </font>
    <font>
      <sz val="9.0"/>
      <color theme="1"/>
      <name val="Malgun Gothic"/>
    </font>
    <font>
      <sz val="9.0"/>
      <color rgb="FF0A0A0A"/>
      <name val="Arial"/>
    </font>
    <font>
      <b/>
      <sz val="9.0"/>
      <color rgb="FF000000"/>
      <name val="&quot;맑은 고딕&quot;"/>
    </font>
    <font>
      <sz val="9.0"/>
      <color rgb="FF000000"/>
      <name val="&quot;맑은 고딕&quot;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C0C0C0"/>
        <bgColor rgb="FFC0C0C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0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3" xfId="0" applyAlignment="1" applyFont="1" applyNumberFormat="1">
      <alignment readingOrder="0" vertical="center"/>
    </xf>
    <xf borderId="0" fillId="0" fontId="2" numFmtId="3" xfId="0" applyAlignment="1" applyFont="1" applyNumberFormat="1">
      <alignment horizontal="right" vertical="center"/>
    </xf>
    <xf borderId="0" fillId="0" fontId="1" numFmtId="3" xfId="0" applyAlignment="1" applyFont="1" applyNumberFormat="1">
      <alignment horizontal="right" readingOrder="0" vertical="center"/>
    </xf>
    <xf borderId="0" fillId="0" fontId="2" numFmtId="3" xfId="0" applyAlignment="1" applyFont="1" applyNumberFormat="1">
      <alignment readingOrder="0" vertical="center"/>
    </xf>
    <xf borderId="0" fillId="0" fontId="1" numFmtId="3" xfId="0" applyAlignment="1" applyFont="1" applyNumberFormat="1">
      <alignment readingOrder="0" vertical="center"/>
    </xf>
    <xf borderId="0" fillId="0" fontId="2" numFmtId="3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4" numFmtId="49" xfId="0" applyAlignment="1" applyFont="1" applyNumberFormat="1">
      <alignment horizontal="right" vertical="center"/>
    </xf>
    <xf borderId="0" fillId="0" fontId="1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5" numFmtId="49" xfId="0" applyAlignment="1" applyFont="1" applyNumberFormat="1">
      <alignment horizontal="right" vertical="center"/>
    </xf>
    <xf borderId="0" fillId="0" fontId="6" numFmtId="49" xfId="0" applyAlignment="1" applyFont="1" applyNumberFormat="1">
      <alignment horizontal="right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3" xfId="0" applyAlignment="1" applyFont="1" applyNumberFormat="1">
      <alignment readingOrder="0" vertical="center"/>
    </xf>
    <xf borderId="0" fillId="0" fontId="8" numFmtId="3" xfId="0" applyAlignment="1" applyFont="1" applyNumberFormat="1">
      <alignment horizontal="right" vertical="center"/>
    </xf>
    <xf borderId="0" fillId="0" fontId="7" numFmtId="3" xfId="0" applyAlignment="1" applyFont="1" applyNumberFormat="1">
      <alignment horizontal="right" readingOrder="0" vertical="center"/>
    </xf>
    <xf borderId="0" fillId="0" fontId="8" numFmtId="3" xfId="0" applyAlignment="1" applyFont="1" applyNumberFormat="1">
      <alignment readingOrder="0" vertical="center"/>
    </xf>
    <xf borderId="0" fillId="0" fontId="9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8" numFmtId="3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7" numFmtId="3" xfId="0" applyAlignment="1" applyFont="1" applyNumberFormat="1">
      <alignment vertical="center"/>
    </xf>
    <xf borderId="0" fillId="0" fontId="7" numFmtId="0" xfId="0" applyAlignment="1" applyFont="1">
      <alignment horizontal="center" readingOrder="0" vertical="center"/>
    </xf>
    <xf borderId="0" fillId="0" fontId="7" numFmtId="3" xfId="0" applyAlignment="1" applyFont="1" applyNumberFormat="1">
      <alignment vertical="center"/>
    </xf>
    <xf borderId="0" fillId="0" fontId="10" numFmtId="0" xfId="0" applyAlignment="1" applyFont="1">
      <alignment readingOrder="0" vertical="center"/>
    </xf>
    <xf borderId="0" fillId="0" fontId="10" numFmtId="3" xfId="0" applyAlignment="1" applyFont="1" applyNumberFormat="1">
      <alignment readingOrder="0" vertical="center"/>
    </xf>
    <xf borderId="0" fillId="0" fontId="11" numFmtId="3" xfId="0" applyAlignment="1" applyFont="1" applyNumberFormat="1">
      <alignment horizontal="right" vertical="center"/>
    </xf>
    <xf borderId="0" fillId="0" fontId="10" numFmtId="3" xfId="0" applyAlignment="1" applyFont="1" applyNumberFormat="1">
      <alignment horizontal="right" readingOrder="0" vertical="center"/>
    </xf>
    <xf borderId="0" fillId="0" fontId="10" numFmtId="0" xfId="0" applyAlignment="1" applyFont="1">
      <alignment horizontal="left" readingOrder="0" vertical="center"/>
    </xf>
    <xf borderId="0" fillId="0" fontId="11" numFmtId="3" xfId="0" applyAlignment="1" applyFont="1" applyNumberFormat="1">
      <alignment readingOrder="0" vertical="center"/>
    </xf>
    <xf borderId="0" fillId="0" fontId="11" numFmtId="3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2" numFmtId="3" xfId="0" applyAlignment="1" applyFont="1" applyNumberFormat="1">
      <alignment readingOrder="0" vertical="center"/>
    </xf>
    <xf borderId="0" fillId="9" fontId="12" numFmtId="0" xfId="0" applyAlignment="1" applyFill="1" applyFont="1">
      <alignment readingOrder="0" vertical="center"/>
    </xf>
    <xf borderId="0" fillId="9" fontId="1" numFmtId="0" xfId="0" applyAlignment="1" applyFont="1">
      <alignment readingOrder="0" vertical="center"/>
    </xf>
    <xf borderId="0" fillId="9" fontId="1" numFmtId="3" xfId="0" applyAlignment="1" applyFont="1" applyNumberFormat="1">
      <alignment readingOrder="0" vertical="center"/>
    </xf>
    <xf borderId="0" fillId="9" fontId="2" numFmtId="3" xfId="0" applyAlignment="1" applyFont="1" applyNumberFormat="1">
      <alignment horizontal="right" vertical="center"/>
    </xf>
    <xf borderId="0" fillId="9" fontId="1" numFmtId="3" xfId="0" applyAlignment="1" applyFont="1" applyNumberFormat="1">
      <alignment horizontal="right" readingOrder="0" vertical="center"/>
    </xf>
    <xf borderId="0" fillId="9" fontId="1" numFmtId="0" xfId="0" applyAlignment="1" applyFont="1">
      <alignment horizontal="left" readingOrder="0" vertical="center"/>
    </xf>
    <xf borderId="0" fillId="9" fontId="2" numFmtId="3" xfId="0" applyAlignment="1" applyFont="1" applyNumberFormat="1">
      <alignment readingOrder="0" vertical="center"/>
    </xf>
    <xf borderId="0" fillId="9" fontId="2" numFmtId="3" xfId="0" applyAlignment="1" applyFont="1" applyNumberFormat="1">
      <alignment vertical="center"/>
    </xf>
    <xf borderId="0" fillId="9" fontId="1" numFmtId="3" xfId="0" applyAlignment="1" applyFont="1" applyNumberFormat="1">
      <alignment vertical="center"/>
    </xf>
    <xf borderId="0" fillId="9" fontId="4" numFmtId="49" xfId="0" applyAlignment="1" applyFont="1" applyNumberFormat="1">
      <alignment horizontal="right" vertical="center"/>
    </xf>
    <xf borderId="0" fillId="9" fontId="1" numFmtId="0" xfId="0" applyAlignment="1" applyFont="1">
      <alignment horizontal="center" readingOrder="0" vertical="center"/>
    </xf>
    <xf borderId="0" fillId="9" fontId="2" numFmtId="3" xfId="0" applyAlignment="1" applyFont="1" applyNumberFormat="1">
      <alignment readingOrder="0" vertical="center"/>
    </xf>
    <xf borderId="0" fillId="9" fontId="7" numFmtId="0" xfId="0" applyAlignment="1" applyFont="1">
      <alignment readingOrder="0" vertical="center"/>
    </xf>
    <xf borderId="0" fillId="9" fontId="7" numFmtId="3" xfId="0" applyAlignment="1" applyFont="1" applyNumberFormat="1">
      <alignment readingOrder="0" vertical="center"/>
    </xf>
    <xf borderId="0" fillId="9" fontId="8" numFmtId="3" xfId="0" applyAlignment="1" applyFont="1" applyNumberFormat="1">
      <alignment horizontal="right" vertical="center"/>
    </xf>
    <xf borderId="0" fillId="9" fontId="7" numFmtId="3" xfId="0" applyAlignment="1" applyFont="1" applyNumberFormat="1">
      <alignment horizontal="right" readingOrder="0" vertical="center"/>
    </xf>
    <xf borderId="0" fillId="9" fontId="8" numFmtId="3" xfId="0" applyAlignment="1" applyFont="1" applyNumberFormat="1">
      <alignment readingOrder="0" vertical="center"/>
    </xf>
    <xf borderId="0" fillId="9" fontId="7" numFmtId="0" xfId="0" applyAlignment="1" applyFont="1">
      <alignment horizontal="left" readingOrder="0" vertical="center"/>
    </xf>
    <xf borderId="0" fillId="9" fontId="8" numFmtId="3" xfId="0" applyAlignment="1" applyFont="1" applyNumberFormat="1">
      <alignment vertical="center"/>
    </xf>
    <xf borderId="0" fillId="9" fontId="7" numFmtId="3" xfId="0" applyAlignment="1" applyFont="1" applyNumberFormat="1">
      <alignment vertical="center"/>
    </xf>
    <xf borderId="0" fillId="9" fontId="8" numFmtId="49" xfId="0" applyAlignment="1" applyFont="1" applyNumberFormat="1">
      <alignment horizontal="right" vertical="center"/>
    </xf>
    <xf borderId="0" fillId="9" fontId="7" numFmtId="0" xfId="0" applyAlignment="1" applyFont="1">
      <alignment horizontal="center" readingOrder="0" vertical="center"/>
    </xf>
    <xf borderId="0" fillId="9" fontId="6" numFmtId="49" xfId="0" applyAlignment="1" applyFont="1" applyNumberFormat="1">
      <alignment horizontal="right" vertical="center"/>
    </xf>
    <xf borderId="0" fillId="9" fontId="13" numFmtId="49" xfId="0" applyAlignment="1" applyFont="1" applyNumberFormat="1">
      <alignment horizontal="right" vertical="center"/>
    </xf>
    <xf borderId="0" fillId="0" fontId="2" numFmtId="0" xfId="0" applyAlignment="1" applyFont="1">
      <alignment vertical="center"/>
    </xf>
    <xf borderId="0" fillId="0" fontId="14" numFmtId="0" xfId="0" applyAlignment="1" applyFont="1">
      <alignment horizontal="center" readingOrder="0" vertical="center"/>
    </xf>
    <xf borderId="0" fillId="2" fontId="15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2" fontId="15" numFmtId="3" xfId="0" applyAlignment="1" applyFont="1" applyNumberFormat="1">
      <alignment vertical="center"/>
    </xf>
    <xf borderId="0" fillId="2" fontId="15" numFmtId="3" xfId="0" applyAlignment="1" applyFont="1" applyNumberFormat="1">
      <alignment horizontal="right" vertical="center"/>
    </xf>
    <xf borderId="0" fillId="2" fontId="15" numFmtId="3" xfId="0" applyAlignment="1" applyFont="1" applyNumberFormat="1">
      <alignment vertical="center"/>
    </xf>
    <xf borderId="0" fillId="2" fontId="15" numFmtId="3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right" vertical="center"/>
    </xf>
    <xf borderId="0" fillId="2" fontId="16" numFmtId="0" xfId="0" applyAlignment="1" applyFont="1">
      <alignment horizontal="center" readingOrder="0"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0" fillId="0" fontId="16" numFmtId="3" xfId="0" applyAlignment="1" applyFont="1" applyNumberFormat="1">
      <alignment readingOrder="0" vertical="center"/>
    </xf>
    <xf borderId="0" fillId="0" fontId="16" numFmtId="3" xfId="0" applyAlignment="1" applyFont="1" applyNumberFormat="1">
      <alignment vertical="center"/>
    </xf>
    <xf borderId="0" fillId="3" fontId="16" numFmtId="0" xfId="0" applyAlignment="1" applyFont="1">
      <alignment readingOrder="0" vertical="center"/>
    </xf>
    <xf borderId="0" fillId="3" fontId="16" numFmtId="3" xfId="0" applyAlignment="1" applyFont="1" applyNumberFormat="1">
      <alignment readingOrder="0" vertical="center"/>
    </xf>
    <xf borderId="0" fillId="3" fontId="16" numFmtId="3" xfId="0" applyAlignment="1" applyFont="1" applyNumberFormat="1">
      <alignment vertical="center"/>
    </xf>
    <xf borderId="0" fillId="3" fontId="16" numFmtId="0" xfId="0" applyAlignment="1" applyFont="1">
      <alignment vertical="center"/>
    </xf>
    <xf borderId="0" fillId="0" fontId="16" numFmtId="3" xfId="0" applyAlignment="1" applyFont="1" applyNumberFormat="1">
      <alignment readingOrder="0" vertical="center"/>
    </xf>
    <xf borderId="0" fillId="0" fontId="17" numFmtId="3" xfId="0" applyAlignment="1" applyFont="1" applyNumberFormat="1">
      <alignment readingOrder="0" vertical="center"/>
    </xf>
    <xf borderId="0" fillId="0" fontId="17" numFmtId="3" xfId="0" applyAlignment="1" applyFont="1" applyNumberFormat="1">
      <alignment vertical="center"/>
    </xf>
    <xf borderId="0" fillId="0" fontId="17" numFmtId="0" xfId="0" applyAlignment="1" applyFont="1">
      <alignment readingOrder="0" vertical="center"/>
    </xf>
    <xf borderId="0" fillId="10" fontId="18" numFmtId="3" xfId="0" applyAlignment="1" applyFill="1" applyFont="1" applyNumberFormat="1">
      <alignment readingOrder="0" shrinkToFit="0" vertical="center" wrapText="0"/>
    </xf>
    <xf borderId="1" fillId="10" fontId="18" numFmtId="3" xfId="0" applyAlignment="1" applyBorder="1" applyFont="1" applyNumberFormat="1">
      <alignment readingOrder="0" shrinkToFit="0" vertical="center" wrapText="0"/>
    </xf>
    <xf borderId="0" fillId="10" fontId="19" numFmtId="3" xfId="0" applyAlignment="1" applyFont="1" applyNumberFormat="1">
      <alignment readingOrder="0" shrinkToFit="0" vertical="center" wrapText="0"/>
    </xf>
    <xf borderId="0" fillId="10" fontId="20" numFmtId="3" xfId="0" applyAlignment="1" applyFont="1" applyNumberFormat="1">
      <alignment readingOrder="0" shrinkToFit="0" vertical="center" wrapText="0"/>
    </xf>
    <xf borderId="0" fillId="10" fontId="16" numFmtId="0" xfId="0" applyAlignment="1" applyFont="1">
      <alignment readingOrder="0" vertical="center"/>
    </xf>
    <xf borderId="0" fillId="10" fontId="16" numFmtId="3" xfId="0" applyAlignment="1" applyFont="1" applyNumberFormat="1">
      <alignment vertical="center"/>
    </xf>
    <xf borderId="0" fillId="10" fontId="16" numFmtId="3" xfId="0" applyAlignment="1" applyFont="1" applyNumberFormat="1">
      <alignment readingOrder="0" vertical="center"/>
    </xf>
    <xf borderId="0" fillId="10" fontId="16" numFmtId="0" xfId="0" applyAlignment="1" applyFont="1">
      <alignment vertical="center"/>
    </xf>
    <xf borderId="0" fillId="11" fontId="16" numFmtId="0" xfId="0" applyAlignment="1" applyFill="1" applyFont="1">
      <alignment readingOrder="0" vertical="center"/>
    </xf>
    <xf borderId="0" fillId="11" fontId="16" numFmtId="3" xfId="0" applyAlignment="1" applyFont="1" applyNumberFormat="1">
      <alignment vertical="center"/>
    </xf>
    <xf borderId="0" fillId="11" fontId="16" numFmtId="0" xfId="0" applyAlignment="1" applyFont="1">
      <alignment vertical="center"/>
    </xf>
    <xf borderId="0" fillId="2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vertical="center"/>
    </xf>
    <xf borderId="0" fillId="10" fontId="9" numFmtId="164" xfId="0" applyAlignment="1" applyFont="1" applyNumberFormat="1">
      <alignment readingOrder="0" vertical="center"/>
    </xf>
    <xf borderId="0" fillId="10" fontId="9" numFmtId="0" xfId="0" applyAlignment="1" applyFont="1">
      <alignment readingOrder="0" vertical="center"/>
    </xf>
    <xf borderId="0" fillId="10" fontId="9" numFmtId="3" xfId="0" applyAlignment="1" applyFont="1" applyNumberFormat="1">
      <alignment readingOrder="0" vertical="center"/>
    </xf>
    <xf borderId="0" fillId="3" fontId="9" numFmtId="3" xfId="0" applyAlignment="1" applyFont="1" applyNumberFormat="1">
      <alignment readingOrder="0" vertical="center"/>
    </xf>
    <xf borderId="0" fillId="3" fontId="9" numFmtId="3" xfId="0" applyAlignment="1" applyFont="1" applyNumberFormat="1">
      <alignment vertical="center"/>
    </xf>
    <xf borderId="0" fillId="0" fontId="9" numFmtId="3" xfId="0" applyAlignment="1" applyFont="1" applyNumberFormat="1">
      <alignment readingOrder="0" vertical="center"/>
    </xf>
    <xf borderId="0" fillId="0" fontId="9" numFmtId="3" xfId="0" applyAlignment="1" applyFont="1" applyNumberFormat="1">
      <alignment vertical="center"/>
    </xf>
    <xf borderId="0" fillId="2" fontId="9" numFmtId="3" xfId="0" applyAlignment="1" applyFont="1" applyNumberFormat="1">
      <alignment vertical="center"/>
    </xf>
    <xf borderId="0" fillId="0" fontId="21" numFmtId="0" xfId="0" applyAlignment="1" applyFont="1">
      <alignment readingOrder="0" vertical="center"/>
    </xf>
    <xf borderId="0" fillId="10" fontId="22" numFmtId="0" xfId="0" applyAlignment="1" applyFont="1">
      <alignment horizontal="left" readingOrder="0" vertical="center"/>
    </xf>
    <xf borderId="0" fillId="2" fontId="23" numFmtId="0" xfId="0" applyAlignment="1" applyFont="1">
      <alignment horizontal="center" readingOrder="0" vertical="center"/>
    </xf>
    <xf borderId="0" fillId="2" fontId="23" numFmtId="3" xfId="0" applyAlignment="1" applyFont="1" applyNumberFormat="1">
      <alignment horizontal="center" readingOrder="0"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3" xfId="0" applyAlignment="1" applyFont="1" applyNumberFormat="1">
      <alignment readingOrder="0" vertical="center"/>
    </xf>
    <xf borderId="0" fillId="0" fontId="23" numFmtId="0" xfId="0" applyAlignment="1" applyFont="1">
      <alignment horizontal="left" readingOrder="0" vertical="center"/>
    </xf>
    <xf borderId="0" fillId="0" fontId="23" numFmtId="3" xfId="0" applyAlignment="1" applyFont="1" applyNumberFormat="1">
      <alignment horizontal="right" readingOrder="0" vertical="center"/>
    </xf>
    <xf borderId="2" fillId="12" fontId="23" numFmtId="0" xfId="0" applyAlignment="1" applyBorder="1" applyFill="1" applyFont="1">
      <alignment horizontal="center" readingOrder="0" vertical="center"/>
    </xf>
    <xf borderId="3" fillId="12" fontId="23" numFmtId="0" xfId="0" applyAlignment="1" applyBorder="1" applyFont="1">
      <alignment readingOrder="0" vertical="center"/>
    </xf>
    <xf borderId="3" fillId="12" fontId="23" numFmtId="3" xfId="0" applyAlignment="1" applyBorder="1" applyFont="1" applyNumberFormat="1">
      <alignment vertical="center"/>
    </xf>
    <xf borderId="3" fillId="12" fontId="23" numFmtId="3" xfId="0" applyAlignment="1" applyBorder="1" applyFont="1" applyNumberFormat="1">
      <alignment readingOrder="0" vertical="center"/>
    </xf>
    <xf borderId="3" fillId="12" fontId="23" numFmtId="3" xfId="0" applyAlignment="1" applyBorder="1" applyFont="1" applyNumberFormat="1">
      <alignment vertical="center"/>
    </xf>
    <xf borderId="3" fillId="12" fontId="23" numFmtId="0" xfId="0" applyAlignment="1" applyBorder="1" applyFont="1">
      <alignment vertical="center"/>
    </xf>
    <xf borderId="4" fillId="12" fontId="23" numFmtId="0" xfId="0" applyAlignment="1" applyBorder="1" applyFont="1">
      <alignment vertical="center"/>
    </xf>
    <xf borderId="3" fillId="12" fontId="23" numFmtId="3" xfId="0" applyAlignment="1" applyBorder="1" applyFont="1" applyNumberFormat="1">
      <alignment readingOrder="0" vertical="center"/>
    </xf>
    <xf borderId="4" fillId="12" fontId="23" numFmtId="0" xfId="0" applyAlignment="1" applyBorder="1" applyFont="1">
      <alignment readingOrder="0" vertical="center"/>
    </xf>
    <xf borderId="2" fillId="2" fontId="23" numFmtId="0" xfId="0" applyAlignment="1" applyBorder="1" applyFont="1">
      <alignment horizontal="center" readingOrder="0" vertical="center"/>
    </xf>
    <xf borderId="3" fillId="2" fontId="23" numFmtId="0" xfId="0" applyAlignment="1" applyBorder="1" applyFont="1">
      <alignment readingOrder="0" vertical="center"/>
    </xf>
    <xf borderId="3" fillId="2" fontId="23" numFmtId="3" xfId="0" applyAlignment="1" applyBorder="1" applyFont="1" applyNumberFormat="1">
      <alignment readingOrder="0" vertical="center"/>
    </xf>
    <xf borderId="3" fillId="2" fontId="23" numFmtId="3" xfId="0" applyAlignment="1" applyBorder="1" applyFont="1" applyNumberFormat="1">
      <alignment readingOrder="0" vertical="center"/>
    </xf>
    <xf borderId="3" fillId="2" fontId="23" numFmtId="3" xfId="0" applyAlignment="1" applyBorder="1" applyFont="1" applyNumberFormat="1">
      <alignment vertical="center"/>
    </xf>
    <xf borderId="3" fillId="2" fontId="23" numFmtId="0" xfId="0" applyAlignment="1" applyBorder="1" applyFont="1">
      <alignment vertical="center"/>
    </xf>
    <xf borderId="4" fillId="2" fontId="23" numFmtId="0" xfId="0" applyAlignment="1" applyBorder="1" applyFont="1">
      <alignment readingOrder="0" vertical="center"/>
    </xf>
    <xf borderId="5" fillId="12" fontId="23" numFmtId="0" xfId="0" applyAlignment="1" applyBorder="1" applyFont="1">
      <alignment horizontal="center" readingOrder="0" vertical="center"/>
    </xf>
    <xf borderId="6" fillId="12" fontId="23" numFmtId="0" xfId="0" applyAlignment="1" applyBorder="1" applyFont="1">
      <alignment readingOrder="0" vertical="center"/>
    </xf>
    <xf borderId="6" fillId="12" fontId="23" numFmtId="3" xfId="0" applyAlignment="1" applyBorder="1" applyFont="1" applyNumberFormat="1">
      <alignment readingOrder="0" vertical="center"/>
    </xf>
    <xf borderId="6" fillId="12" fontId="23" numFmtId="3" xfId="0" applyAlignment="1" applyBorder="1" applyFont="1" applyNumberFormat="1">
      <alignment readingOrder="0" vertical="center"/>
    </xf>
    <xf borderId="7" fillId="12" fontId="23" numFmtId="0" xfId="0" applyAlignment="1" applyBorder="1" applyFont="1">
      <alignment vertical="center"/>
    </xf>
    <xf borderId="8" fillId="2" fontId="23" numFmtId="0" xfId="0" applyAlignment="1" applyBorder="1" applyFont="1">
      <alignment horizontal="center" readingOrder="0" vertical="center"/>
    </xf>
    <xf borderId="8" fillId="2" fontId="23" numFmtId="0" xfId="0" applyAlignment="1" applyBorder="1" applyFont="1">
      <alignment vertical="center"/>
    </xf>
    <xf borderId="8" fillId="2" fontId="23" numFmtId="3" xfId="0" applyAlignment="1" applyBorder="1" applyFont="1" applyNumberFormat="1">
      <alignment vertical="center"/>
    </xf>
    <xf borderId="8" fillId="2" fontId="23" numFmtId="3" xfId="0" applyAlignment="1" applyBorder="1" applyFont="1" applyNumberFormat="1">
      <alignment vertical="center"/>
    </xf>
    <xf borderId="0" fillId="10" fontId="24" numFmtId="0" xfId="0" applyAlignment="1" applyFont="1">
      <alignment horizontal="center" shrinkToFit="0" vertical="top" wrapText="1"/>
    </xf>
    <xf borderId="0" fillId="10" fontId="24" numFmtId="0" xfId="0" applyAlignment="1" applyFont="1">
      <alignment horizontal="center" readingOrder="0" shrinkToFit="0" vertical="top" wrapText="1"/>
    </xf>
    <xf borderId="0" fillId="0" fontId="25" numFmtId="0" xfId="0" applyAlignment="1" applyFont="1">
      <alignment vertical="center"/>
    </xf>
    <xf borderId="0" fillId="10" fontId="26" numFmtId="0" xfId="0" applyAlignment="1" applyFont="1">
      <alignment shrinkToFit="0" vertical="top" wrapText="1"/>
    </xf>
    <xf borderId="0" fillId="0" fontId="25" numFmtId="0" xfId="0" applyAlignment="1" applyFont="1">
      <alignment readingOrder="0" vertical="center"/>
    </xf>
    <xf borderId="9" fillId="13" fontId="27" numFmtId="0" xfId="0" applyAlignment="1" applyBorder="1" applyFill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0" fontId="28" numFmtId="164" xfId="0" applyAlignment="1" applyFont="1" applyNumberFormat="1">
      <alignment horizontal="center" readingOrder="0" vertical="center"/>
    </xf>
    <xf borderId="0" fillId="0" fontId="28" numFmtId="165" xfId="0" applyAlignment="1" applyFont="1" applyNumberFormat="1">
      <alignment horizontal="center" readingOrder="0" vertical="center"/>
    </xf>
    <xf borderId="0" fillId="5" fontId="28" numFmtId="164" xfId="0" applyAlignment="1" applyFont="1" applyNumberFormat="1">
      <alignment horizontal="center" readingOrder="0" vertical="center"/>
    </xf>
    <xf borderId="0" fillId="0" fontId="28" numFmtId="3" xfId="0" applyAlignment="1" applyFont="1" applyNumberFormat="1">
      <alignment horizontal="center" readingOrder="0" vertical="center"/>
    </xf>
    <xf borderId="0" fillId="12" fontId="28" numFmtId="164" xfId="0" applyAlignment="1" applyFont="1" applyNumberFormat="1">
      <alignment horizontal="center" readingOrder="0" vertical="center"/>
    </xf>
    <xf borderId="0" fillId="4" fontId="28" numFmtId="164" xfId="0" applyAlignment="1" applyFont="1" applyNumberFormat="1">
      <alignment horizontal="center" readingOrder="0" vertical="center"/>
    </xf>
    <xf borderId="0" fillId="2" fontId="28" numFmtId="164" xfId="0" applyAlignment="1" applyFont="1" applyNumberFormat="1">
      <alignment horizontal="center" readingOrder="0" vertical="center"/>
    </xf>
    <xf borderId="0" fillId="3" fontId="28" numFmtId="164" xfId="0" applyAlignment="1" applyFont="1" applyNumberFormat="1">
      <alignment horizontal="center" readingOrder="0" vertical="center"/>
    </xf>
    <xf borderId="0" fillId="3" fontId="27" numFmtId="164" xfId="0" applyAlignment="1" applyFont="1" applyNumberFormat="1">
      <alignment horizontal="center" readingOrder="0" vertical="center"/>
    </xf>
    <xf borderId="0" fillId="6" fontId="28" numFmtId="164" xfId="0" applyAlignment="1" applyFont="1" applyNumberFormat="1">
      <alignment horizontal="center" readingOrder="0" vertical="center"/>
    </xf>
    <xf borderId="0" fillId="6" fontId="27" numFmtId="164" xfId="0" applyAlignment="1" applyFont="1" applyNumberFormat="1">
      <alignment horizontal="center" readingOrder="0" vertical="center"/>
    </xf>
    <xf borderId="0" fillId="14" fontId="28" numFmtId="164" xfId="0" applyAlignment="1" applyFill="1" applyFont="1" applyNumberFormat="1">
      <alignment horizontal="center" readingOrder="0" vertical="center"/>
    </xf>
    <xf borderId="0" fillId="15" fontId="28" numFmtId="164" xfId="0" applyAlignment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0.57"/>
    <col customWidth="1" min="2" max="2" width="20.71"/>
    <col customWidth="1" min="3" max="3" width="7.29"/>
    <col customWidth="1" min="4" max="4" width="6.86"/>
    <col customWidth="1" min="5" max="5" width="5.71"/>
    <col customWidth="1" min="6" max="6" width="6.57"/>
    <col customWidth="1" min="7" max="7" width="6.0"/>
    <col customWidth="1" min="8" max="8" width="6.57"/>
    <col customWidth="1" min="9" max="9" width="5.29"/>
    <col customWidth="1" min="10" max="10" width="7.14"/>
    <col customWidth="1" min="11" max="11" width="6.71"/>
    <col customWidth="1" min="12" max="12" width="10.14"/>
    <col customWidth="1" min="13" max="13" width="7.43"/>
    <col customWidth="1" min="14" max="14" width="6.29"/>
    <col customWidth="1" min="15" max="15" width="9.71"/>
    <col customWidth="1" min="16" max="18" width="7.43"/>
    <col customWidth="1" min="19" max="19" width="6.57"/>
    <col customWidth="1" min="20" max="21" width="6.71"/>
    <col customWidth="1" min="22" max="22" width="11.86"/>
    <col customWidth="1" min="23" max="23" width="14.0"/>
    <col customWidth="1" min="24" max="24" width="8.43"/>
    <col customWidth="1" min="25" max="25" width="7.0"/>
    <col customWidth="1" min="26" max="26" width="11.43"/>
    <col customWidth="1" min="27" max="27" width="7.29"/>
    <col customWidth="1" min="28" max="28" width="8.86"/>
    <col customWidth="1" min="29" max="29" width="11.14"/>
    <col customWidth="1" min="30" max="30" width="8.71"/>
    <col customWidth="1" min="31" max="31" width="12.0"/>
    <col customWidth="1" min="32" max="32" width="6.0"/>
    <col customWidth="1" min="33" max="34" width="6.43"/>
    <col customWidth="1" min="35" max="35" width="6.29"/>
    <col customWidth="1" min="36" max="36" width="7.71"/>
    <col customWidth="1" min="37" max="37" width="6.71"/>
    <col customWidth="1" min="38" max="38" width="9.57"/>
    <col customWidth="1" min="39" max="39" width="64.0"/>
    <col customWidth="1" min="40" max="40" width="15.29"/>
    <col customWidth="1" min="41" max="41" width="4.57"/>
    <col customWidth="1" min="42" max="42" width="4.71"/>
  </cols>
  <sheetData>
    <row r="1">
      <c r="A1" s="1" t="s">
        <v>0</v>
      </c>
      <c r="B1" s="1" t="s">
        <v>1</v>
      </c>
      <c r="C1" s="2" t="s">
        <v>2</v>
      </c>
      <c r="M1" s="3" t="s">
        <v>3</v>
      </c>
      <c r="P1" s="4" t="s">
        <v>4</v>
      </c>
      <c r="AA1" s="5" t="s">
        <v>5</v>
      </c>
      <c r="AF1" s="6" t="s">
        <v>6</v>
      </c>
      <c r="AJ1" s="7" t="s">
        <v>7</v>
      </c>
      <c r="AM1" s="8" t="s">
        <v>8</v>
      </c>
      <c r="AN1" s="9"/>
      <c r="AO1" s="9"/>
      <c r="AP1" s="9"/>
      <c r="AQ1" s="9"/>
      <c r="AR1" s="9"/>
    </row>
    <row r="2"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0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18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12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10</v>
      </c>
      <c r="AG2" s="1" t="s">
        <v>11</v>
      </c>
      <c r="AH2" s="1" t="s">
        <v>12</v>
      </c>
      <c r="AI2" s="1" t="s">
        <v>36</v>
      </c>
      <c r="AJ2" s="8" t="s">
        <v>37</v>
      </c>
      <c r="AK2" s="8" t="s">
        <v>38</v>
      </c>
      <c r="AL2" s="8" t="s">
        <v>39</v>
      </c>
      <c r="AM2" s="11" t="s">
        <v>40</v>
      </c>
      <c r="AN2" s="9"/>
      <c r="AO2" s="9"/>
      <c r="AP2" s="9"/>
      <c r="AQ2" s="9"/>
      <c r="AR2" s="9"/>
    </row>
    <row r="3">
      <c r="A3" s="12" t="s">
        <v>41</v>
      </c>
      <c r="B3" s="12" t="s">
        <v>42</v>
      </c>
      <c r="C3" s="13" t="s">
        <v>43</v>
      </c>
      <c r="D3" s="14">
        <v>1200.0</v>
      </c>
      <c r="E3" s="14">
        <v>15.0</v>
      </c>
      <c r="F3" s="14">
        <v>3000.0</v>
      </c>
      <c r="G3" s="14">
        <v>5000.0</v>
      </c>
      <c r="H3" s="14">
        <f t="shared" ref="H3:H9" si="1">D3*E3+F3-G3</f>
        <v>16000</v>
      </c>
      <c r="I3" s="14">
        <v>0.0</v>
      </c>
      <c r="J3" s="15">
        <f t="shared" ref="J3:J9" si="2">H3+I3</f>
        <v>16000</v>
      </c>
      <c r="K3" s="16">
        <f t="shared" ref="K3:K9" si="3">ROUND((J3+N3)/E3,0)</f>
        <v>1367</v>
      </c>
      <c r="L3" s="13" t="s">
        <v>44</v>
      </c>
      <c r="M3" s="12" t="s">
        <v>45</v>
      </c>
      <c r="N3" s="17">
        <v>4500.0</v>
      </c>
      <c r="O3" s="8" t="s">
        <v>46</v>
      </c>
      <c r="P3" s="12" t="s">
        <v>47</v>
      </c>
      <c r="Q3" s="18">
        <v>3.0</v>
      </c>
      <c r="R3" s="18">
        <v>4.0</v>
      </c>
      <c r="S3" s="14">
        <v>12900.0</v>
      </c>
      <c r="T3" s="14">
        <v>1000.0</v>
      </c>
      <c r="U3" s="14">
        <f t="shared" ref="U3:U9" si="4">S3-T3</f>
        <v>11900</v>
      </c>
      <c r="V3" s="12">
        <v>10.5</v>
      </c>
      <c r="W3" s="14">
        <f t="shared" ref="W3:W9" si="5">ROUND(U3*(V3/100),0)*1.1</f>
        <v>1375</v>
      </c>
      <c r="X3" s="14">
        <v>0.0</v>
      </c>
      <c r="Y3" s="14">
        <v>0.0</v>
      </c>
      <c r="Z3" s="19">
        <f t="shared" ref="Z3:Z9" si="6">S3-T3-W3-X3-Y3</f>
        <v>10525</v>
      </c>
      <c r="AA3" s="19">
        <f t="shared" ref="AA3:AA9" si="7">(Z3-K3*Q3)/11</f>
        <v>584</v>
      </c>
      <c r="AB3" s="14">
        <f>K3*3</f>
        <v>4101</v>
      </c>
      <c r="AC3" s="20">
        <f t="shared" ref="AC3:AC9" si="8">Z3-(K3*Q3)-AA3</f>
        <v>5840</v>
      </c>
      <c r="AD3" s="21">
        <f t="shared" ref="AD3:AD9" si="9">ROUND(AC3/U3, 3)*100</f>
        <v>49.1</v>
      </c>
      <c r="AE3" s="19">
        <f t="shared" ref="AE3:AE9" si="10">(AC3*R3)-AB3</f>
        <v>19259</v>
      </c>
      <c r="AF3" s="20"/>
      <c r="AG3" s="20"/>
      <c r="AH3" s="20"/>
      <c r="AI3" s="20"/>
      <c r="AJ3" s="8">
        <v>4.0</v>
      </c>
      <c r="AK3" s="22">
        <f t="shared" ref="AK3:AK9" si="11">R3-AJ3</f>
        <v>0</v>
      </c>
      <c r="AL3" s="23" t="s">
        <v>48</v>
      </c>
      <c r="AN3" s="12" t="s">
        <v>49</v>
      </c>
      <c r="AO3" s="12">
        <v>4.0</v>
      </c>
      <c r="AP3" s="18">
        <v>4.0</v>
      </c>
      <c r="AQ3" s="9"/>
      <c r="AR3" s="9"/>
    </row>
    <row r="4">
      <c r="A4" s="12"/>
      <c r="B4" s="12"/>
      <c r="C4" s="13" t="s">
        <v>50</v>
      </c>
      <c r="D4" s="14">
        <v>1200.0</v>
      </c>
      <c r="E4" s="14">
        <v>6.0</v>
      </c>
      <c r="F4" s="14">
        <v>3000.0</v>
      </c>
      <c r="G4" s="14">
        <v>0.0</v>
      </c>
      <c r="H4" s="14">
        <f t="shared" si="1"/>
        <v>10200</v>
      </c>
      <c r="I4" s="14">
        <f t="shared" ref="I4:I9" si="12">R4*AI4</f>
        <v>196</v>
      </c>
      <c r="J4" s="15">
        <f t="shared" si="2"/>
        <v>10396</v>
      </c>
      <c r="K4" s="16">
        <f t="shared" si="3"/>
        <v>1733</v>
      </c>
      <c r="L4" s="13" t="s">
        <v>44</v>
      </c>
      <c r="M4" s="12" t="s">
        <v>51</v>
      </c>
      <c r="N4" s="12">
        <v>0.0</v>
      </c>
      <c r="O4" s="12" t="s">
        <v>44</v>
      </c>
      <c r="P4" s="12" t="s">
        <v>52</v>
      </c>
      <c r="Q4" s="12">
        <v>3.0</v>
      </c>
      <c r="R4" s="12">
        <v>2.0</v>
      </c>
      <c r="S4" s="14">
        <v>12900.0</v>
      </c>
      <c r="T4" s="14">
        <v>1000.0</v>
      </c>
      <c r="U4" s="14">
        <f t="shared" si="4"/>
        <v>11900</v>
      </c>
      <c r="V4" s="12">
        <v>10.5</v>
      </c>
      <c r="W4" s="14">
        <f t="shared" si="5"/>
        <v>1375</v>
      </c>
      <c r="X4" s="14">
        <v>0.0</v>
      </c>
      <c r="Y4" s="14">
        <v>0.0</v>
      </c>
      <c r="Z4" s="19">
        <f t="shared" si="6"/>
        <v>10525</v>
      </c>
      <c r="AA4" s="19">
        <f t="shared" si="7"/>
        <v>484.1818182</v>
      </c>
      <c r="AB4" s="14">
        <v>0.0</v>
      </c>
      <c r="AC4" s="20">
        <f t="shared" si="8"/>
        <v>4841.818182</v>
      </c>
      <c r="AD4" s="21">
        <f t="shared" si="9"/>
        <v>40.7</v>
      </c>
      <c r="AE4" s="19">
        <f t="shared" si="10"/>
        <v>9683.636364</v>
      </c>
      <c r="AF4" s="14">
        <v>9800.0</v>
      </c>
      <c r="AG4" s="14">
        <v>100.0</v>
      </c>
      <c r="AH4" s="14">
        <v>0.0</v>
      </c>
      <c r="AI4" s="20">
        <f t="shared" ref="AI4:AI9" si="13">sum(AF4+AH4)/AG4</f>
        <v>98</v>
      </c>
      <c r="AJ4" s="8">
        <v>2.0</v>
      </c>
      <c r="AK4" s="8">
        <f t="shared" si="11"/>
        <v>0</v>
      </c>
      <c r="AL4" s="23" t="s">
        <v>48</v>
      </c>
      <c r="AN4" s="12" t="s">
        <v>53</v>
      </c>
      <c r="AO4" s="12">
        <v>2.0</v>
      </c>
      <c r="AP4" s="12">
        <v>2.0</v>
      </c>
      <c r="AQ4" s="9"/>
      <c r="AR4" s="9"/>
    </row>
    <row r="5">
      <c r="A5" s="12"/>
      <c r="B5" s="12"/>
      <c r="C5" s="13" t="s">
        <v>54</v>
      </c>
      <c r="D5" s="14">
        <v>1200.0</v>
      </c>
      <c r="E5" s="14">
        <v>15.0</v>
      </c>
      <c r="F5" s="14">
        <v>3000.0</v>
      </c>
      <c r="G5" s="14">
        <v>0.0</v>
      </c>
      <c r="H5" s="14">
        <f t="shared" si="1"/>
        <v>21000</v>
      </c>
      <c r="I5" s="14">
        <f t="shared" si="12"/>
        <v>490</v>
      </c>
      <c r="J5" s="15">
        <f t="shared" si="2"/>
        <v>21490</v>
      </c>
      <c r="K5" s="16">
        <f t="shared" si="3"/>
        <v>1716</v>
      </c>
      <c r="L5" s="13" t="s">
        <v>44</v>
      </c>
      <c r="M5" s="12" t="s">
        <v>55</v>
      </c>
      <c r="N5" s="17">
        <v>4250.0</v>
      </c>
      <c r="O5" s="13" t="s">
        <v>44</v>
      </c>
      <c r="P5" s="12" t="s">
        <v>56</v>
      </c>
      <c r="Q5" s="12">
        <v>3.0</v>
      </c>
      <c r="R5" s="12">
        <v>5.0</v>
      </c>
      <c r="S5" s="14">
        <v>12900.0</v>
      </c>
      <c r="T5" s="14">
        <v>1000.0</v>
      </c>
      <c r="U5" s="14">
        <f t="shared" si="4"/>
        <v>11900</v>
      </c>
      <c r="V5" s="12">
        <v>10.5</v>
      </c>
      <c r="W5" s="14">
        <f t="shared" si="5"/>
        <v>1375</v>
      </c>
      <c r="X5" s="14">
        <v>0.0</v>
      </c>
      <c r="Y5" s="14">
        <v>0.0</v>
      </c>
      <c r="Z5" s="19">
        <f t="shared" si="6"/>
        <v>10525</v>
      </c>
      <c r="AA5" s="19">
        <f t="shared" si="7"/>
        <v>488.8181818</v>
      </c>
      <c r="AB5" s="14">
        <v>0.0</v>
      </c>
      <c r="AC5" s="20">
        <f t="shared" si="8"/>
        <v>4888.181818</v>
      </c>
      <c r="AD5" s="21">
        <f t="shared" si="9"/>
        <v>41.1</v>
      </c>
      <c r="AE5" s="19">
        <f t="shared" si="10"/>
        <v>24440.90909</v>
      </c>
      <c r="AF5" s="14">
        <v>9800.0</v>
      </c>
      <c r="AG5" s="14">
        <v>100.0</v>
      </c>
      <c r="AH5" s="14">
        <v>0.0</v>
      </c>
      <c r="AI5" s="20">
        <f t="shared" si="13"/>
        <v>98</v>
      </c>
      <c r="AJ5" s="8">
        <v>5.0</v>
      </c>
      <c r="AK5" s="8">
        <f t="shared" si="11"/>
        <v>0</v>
      </c>
      <c r="AL5" s="23" t="s">
        <v>48</v>
      </c>
      <c r="AN5" s="12" t="s">
        <v>57</v>
      </c>
      <c r="AO5" s="12">
        <v>5.0</v>
      </c>
      <c r="AP5" s="12">
        <v>5.0</v>
      </c>
      <c r="AQ5" s="9"/>
      <c r="AR5" s="9"/>
    </row>
    <row r="6">
      <c r="A6" s="12"/>
      <c r="B6" s="12"/>
      <c r="C6" s="13" t="s">
        <v>58</v>
      </c>
      <c r="D6" s="14">
        <v>1200.0</v>
      </c>
      <c r="E6" s="14">
        <v>30.0</v>
      </c>
      <c r="F6" s="14">
        <v>1500.0</v>
      </c>
      <c r="G6" s="14">
        <v>0.0</v>
      </c>
      <c r="H6" s="14">
        <f t="shared" si="1"/>
        <v>37500</v>
      </c>
      <c r="I6" s="14">
        <f t="shared" si="12"/>
        <v>980</v>
      </c>
      <c r="J6" s="15">
        <f t="shared" si="2"/>
        <v>38480</v>
      </c>
      <c r="K6" s="16">
        <f t="shared" si="3"/>
        <v>1283</v>
      </c>
      <c r="L6" s="13" t="s">
        <v>59</v>
      </c>
      <c r="M6" s="12" t="s">
        <v>60</v>
      </c>
      <c r="N6" s="12">
        <v>0.0</v>
      </c>
      <c r="O6" s="13"/>
      <c r="P6" s="12" t="s">
        <v>61</v>
      </c>
      <c r="Q6" s="12">
        <v>3.0</v>
      </c>
      <c r="R6" s="12">
        <v>10.0</v>
      </c>
      <c r="S6" s="14">
        <v>12900.0</v>
      </c>
      <c r="T6" s="14">
        <v>1000.0</v>
      </c>
      <c r="U6" s="14">
        <f t="shared" si="4"/>
        <v>11900</v>
      </c>
      <c r="V6" s="12">
        <v>10.5</v>
      </c>
      <c r="W6" s="14">
        <f t="shared" si="5"/>
        <v>1375</v>
      </c>
      <c r="X6" s="14">
        <v>0.0</v>
      </c>
      <c r="Y6" s="14">
        <v>0.0</v>
      </c>
      <c r="Z6" s="19">
        <f t="shared" si="6"/>
        <v>10525</v>
      </c>
      <c r="AA6" s="19">
        <f t="shared" si="7"/>
        <v>606.9090909</v>
      </c>
      <c r="AB6" s="14">
        <v>0.0</v>
      </c>
      <c r="AC6" s="20">
        <f t="shared" si="8"/>
        <v>6069.090909</v>
      </c>
      <c r="AD6" s="24">
        <f t="shared" si="9"/>
        <v>51</v>
      </c>
      <c r="AE6" s="19">
        <f t="shared" si="10"/>
        <v>60690.90909</v>
      </c>
      <c r="AF6" s="14">
        <v>9800.0</v>
      </c>
      <c r="AG6" s="14">
        <v>100.0</v>
      </c>
      <c r="AH6" s="14">
        <v>0.0</v>
      </c>
      <c r="AI6" s="20">
        <f t="shared" si="13"/>
        <v>98</v>
      </c>
      <c r="AJ6" s="8">
        <v>10.0</v>
      </c>
      <c r="AK6" s="8">
        <f t="shared" si="11"/>
        <v>0</v>
      </c>
      <c r="AL6" s="23" t="s">
        <v>48</v>
      </c>
      <c r="AN6" s="12" t="s">
        <v>62</v>
      </c>
      <c r="AO6" s="12">
        <v>10.0</v>
      </c>
      <c r="AP6" s="12">
        <v>10.0</v>
      </c>
      <c r="AQ6" s="12"/>
      <c r="AR6" s="9"/>
    </row>
    <row r="7">
      <c r="A7" s="12"/>
      <c r="B7" s="12"/>
      <c r="C7" s="13" t="s">
        <v>63</v>
      </c>
      <c r="D7" s="14">
        <v>1100.0</v>
      </c>
      <c r="E7" s="14">
        <v>120.0</v>
      </c>
      <c r="F7" s="14">
        <v>3000.0</v>
      </c>
      <c r="G7" s="14">
        <v>0.0</v>
      </c>
      <c r="H7" s="14">
        <f t="shared" si="1"/>
        <v>135000</v>
      </c>
      <c r="I7" s="14">
        <f t="shared" si="12"/>
        <v>3920</v>
      </c>
      <c r="J7" s="15">
        <f t="shared" si="2"/>
        <v>138920</v>
      </c>
      <c r="K7" s="16">
        <f t="shared" si="3"/>
        <v>1221</v>
      </c>
      <c r="L7" s="13" t="s">
        <v>64</v>
      </c>
      <c r="M7" s="12" t="s">
        <v>65</v>
      </c>
      <c r="N7" s="17">
        <v>7650.0</v>
      </c>
      <c r="O7" s="13" t="s">
        <v>66</v>
      </c>
      <c r="P7" s="12" t="s">
        <v>67</v>
      </c>
      <c r="Q7" s="12">
        <v>3.0</v>
      </c>
      <c r="R7" s="12">
        <v>40.0</v>
      </c>
      <c r="S7" s="14">
        <v>12900.0</v>
      </c>
      <c r="T7" s="14">
        <v>1000.0</v>
      </c>
      <c r="U7" s="14">
        <f t="shared" si="4"/>
        <v>11900</v>
      </c>
      <c r="V7" s="12">
        <v>10.5</v>
      </c>
      <c r="W7" s="14">
        <f t="shared" si="5"/>
        <v>1375</v>
      </c>
      <c r="X7" s="14">
        <v>0.0</v>
      </c>
      <c r="Y7" s="14">
        <v>0.0</v>
      </c>
      <c r="Z7" s="19">
        <f t="shared" si="6"/>
        <v>10525</v>
      </c>
      <c r="AA7" s="19">
        <f t="shared" si="7"/>
        <v>623.8181818</v>
      </c>
      <c r="AB7" s="14">
        <v>0.0</v>
      </c>
      <c r="AC7" s="20">
        <f t="shared" si="8"/>
        <v>6238.181818</v>
      </c>
      <c r="AD7" s="24">
        <f t="shared" si="9"/>
        <v>52.4</v>
      </c>
      <c r="AE7" s="19">
        <f t="shared" si="10"/>
        <v>249527.2727</v>
      </c>
      <c r="AF7" s="14">
        <v>9800.0</v>
      </c>
      <c r="AG7" s="14">
        <v>100.0</v>
      </c>
      <c r="AH7" s="14">
        <v>0.0</v>
      </c>
      <c r="AI7" s="20">
        <f t="shared" si="13"/>
        <v>98</v>
      </c>
      <c r="AJ7" s="8">
        <v>40.0</v>
      </c>
      <c r="AK7" s="8">
        <f t="shared" si="11"/>
        <v>0</v>
      </c>
      <c r="AL7" s="23" t="s">
        <v>48</v>
      </c>
      <c r="AM7" s="12" t="s">
        <v>68</v>
      </c>
      <c r="AN7" s="12" t="s">
        <v>69</v>
      </c>
      <c r="AO7" s="12">
        <v>40.0</v>
      </c>
      <c r="AP7" s="12">
        <v>40.0</v>
      </c>
      <c r="AQ7" s="12"/>
      <c r="AR7" s="9"/>
    </row>
    <row r="8">
      <c r="A8" s="12"/>
      <c r="B8" s="12"/>
      <c r="C8" s="13" t="s">
        <v>70</v>
      </c>
      <c r="D8" s="14">
        <v>1100.0</v>
      </c>
      <c r="E8" s="14">
        <v>45.0</v>
      </c>
      <c r="F8" s="14">
        <v>3000.0</v>
      </c>
      <c r="G8" s="14">
        <v>0.0</v>
      </c>
      <c r="H8" s="14">
        <f t="shared" si="1"/>
        <v>52500</v>
      </c>
      <c r="I8" s="14">
        <f t="shared" si="12"/>
        <v>1470</v>
      </c>
      <c r="J8" s="15">
        <f t="shared" si="2"/>
        <v>53970</v>
      </c>
      <c r="K8" s="16">
        <f t="shared" si="3"/>
        <v>1253</v>
      </c>
      <c r="L8" s="13" t="s">
        <v>64</v>
      </c>
      <c r="M8" s="12" t="s">
        <v>71</v>
      </c>
      <c r="N8" s="17">
        <v>2425.0</v>
      </c>
      <c r="O8" s="13" t="s">
        <v>66</v>
      </c>
      <c r="P8" s="12" t="s">
        <v>72</v>
      </c>
      <c r="Q8" s="12">
        <v>3.0</v>
      </c>
      <c r="R8" s="12">
        <v>15.0</v>
      </c>
      <c r="S8" s="14">
        <v>12900.0</v>
      </c>
      <c r="T8" s="14">
        <v>200.0</v>
      </c>
      <c r="U8" s="14">
        <f t="shared" si="4"/>
        <v>12700</v>
      </c>
      <c r="V8" s="12">
        <v>10.5</v>
      </c>
      <c r="W8" s="14">
        <f t="shared" si="5"/>
        <v>1467.4</v>
      </c>
      <c r="X8" s="14">
        <v>1025.0</v>
      </c>
      <c r="Y8" s="14">
        <v>1925.0</v>
      </c>
      <c r="Z8" s="19">
        <f t="shared" si="6"/>
        <v>8282.6</v>
      </c>
      <c r="AA8" s="19">
        <f t="shared" si="7"/>
        <v>411.2363636</v>
      </c>
      <c r="AB8" s="14">
        <v>0.0</v>
      </c>
      <c r="AC8" s="20">
        <f t="shared" si="8"/>
        <v>4112.363636</v>
      </c>
      <c r="AD8" s="25">
        <f t="shared" si="9"/>
        <v>32.4</v>
      </c>
      <c r="AE8" s="19">
        <f t="shared" si="10"/>
        <v>61685.45455</v>
      </c>
      <c r="AF8" s="14">
        <v>9800.0</v>
      </c>
      <c r="AG8" s="14">
        <v>100.0</v>
      </c>
      <c r="AH8" s="14">
        <v>0.0</v>
      </c>
      <c r="AI8" s="20">
        <f t="shared" si="13"/>
        <v>98</v>
      </c>
      <c r="AJ8" s="8">
        <v>15.0</v>
      </c>
      <c r="AK8" s="8">
        <f t="shared" si="11"/>
        <v>0</v>
      </c>
      <c r="AL8" s="23" t="s">
        <v>48</v>
      </c>
      <c r="AM8" s="11"/>
      <c r="AN8" s="12" t="s">
        <v>73</v>
      </c>
      <c r="AO8" s="12">
        <v>15.0</v>
      </c>
      <c r="AP8" s="12">
        <v>15.0</v>
      </c>
      <c r="AQ8" s="9"/>
      <c r="AR8" s="9"/>
    </row>
    <row r="9">
      <c r="A9" s="12"/>
      <c r="B9" s="12"/>
      <c r="C9" s="13" t="s">
        <v>72</v>
      </c>
      <c r="D9" s="14">
        <v>1100.0</v>
      </c>
      <c r="E9" s="14">
        <v>225.0</v>
      </c>
      <c r="F9" s="14">
        <v>3000.0</v>
      </c>
      <c r="G9" s="14">
        <v>0.0</v>
      </c>
      <c r="H9" s="14">
        <f t="shared" si="1"/>
        <v>250500</v>
      </c>
      <c r="I9" s="14">
        <f t="shared" si="12"/>
        <v>7350</v>
      </c>
      <c r="J9" s="15">
        <f t="shared" si="2"/>
        <v>257850</v>
      </c>
      <c r="K9" s="16">
        <f t="shared" si="3"/>
        <v>1153</v>
      </c>
      <c r="L9" s="13" t="s">
        <v>64</v>
      </c>
      <c r="M9" s="12" t="s">
        <v>74</v>
      </c>
      <c r="N9" s="17">
        <v>1618.0</v>
      </c>
      <c r="O9" s="13" t="s">
        <v>66</v>
      </c>
      <c r="P9" s="12" t="s">
        <v>75</v>
      </c>
      <c r="Q9" s="12">
        <v>3.0</v>
      </c>
      <c r="R9" s="12">
        <v>75.0</v>
      </c>
      <c r="S9" s="14">
        <v>12900.0</v>
      </c>
      <c r="T9" s="14">
        <v>200.0</v>
      </c>
      <c r="U9" s="14">
        <f t="shared" si="4"/>
        <v>12700</v>
      </c>
      <c r="V9" s="12">
        <v>10.5</v>
      </c>
      <c r="W9" s="14">
        <f t="shared" si="5"/>
        <v>1467.4</v>
      </c>
      <c r="X9" s="14">
        <v>1025.0</v>
      </c>
      <c r="Y9" s="14">
        <v>1925.0</v>
      </c>
      <c r="Z9" s="19">
        <f t="shared" si="6"/>
        <v>8282.6</v>
      </c>
      <c r="AA9" s="19">
        <f t="shared" si="7"/>
        <v>438.5090909</v>
      </c>
      <c r="AB9" s="14">
        <v>0.0</v>
      </c>
      <c r="AC9" s="20">
        <f t="shared" si="8"/>
        <v>4385.090909</v>
      </c>
      <c r="AD9" s="25">
        <f t="shared" si="9"/>
        <v>34.5</v>
      </c>
      <c r="AE9" s="19">
        <f t="shared" si="10"/>
        <v>328881.8182</v>
      </c>
      <c r="AF9" s="14">
        <v>9800.0</v>
      </c>
      <c r="AG9" s="14">
        <v>100.0</v>
      </c>
      <c r="AH9" s="14">
        <v>0.0</v>
      </c>
      <c r="AI9" s="20">
        <f t="shared" si="13"/>
        <v>98</v>
      </c>
      <c r="AJ9" s="8">
        <v>25.0</v>
      </c>
      <c r="AK9" s="8">
        <f t="shared" si="11"/>
        <v>50</v>
      </c>
      <c r="AL9" s="8" t="s">
        <v>76</v>
      </c>
      <c r="AM9" s="12" t="s">
        <v>77</v>
      </c>
      <c r="AN9" s="12" t="s">
        <v>78</v>
      </c>
      <c r="AO9" s="12">
        <v>25.0</v>
      </c>
      <c r="AP9" s="12">
        <v>70.0</v>
      </c>
      <c r="AQ9" s="12" t="s">
        <v>79</v>
      </c>
      <c r="AR9" s="9"/>
    </row>
    <row r="10">
      <c r="A10" s="26"/>
      <c r="B10" s="26"/>
      <c r="C10" s="27"/>
      <c r="D10" s="28"/>
      <c r="E10" s="28"/>
      <c r="F10" s="28"/>
      <c r="G10" s="28"/>
      <c r="H10" s="28"/>
      <c r="I10" s="28"/>
      <c r="J10" s="29"/>
      <c r="K10" s="30"/>
      <c r="L10" s="27"/>
      <c r="M10" s="26"/>
      <c r="N10" s="31"/>
      <c r="O10" s="32"/>
      <c r="P10" s="26"/>
      <c r="Q10" s="26"/>
      <c r="R10" s="26"/>
      <c r="S10" s="28"/>
      <c r="T10" s="28"/>
      <c r="U10" s="28"/>
      <c r="V10" s="26"/>
      <c r="W10" s="28"/>
      <c r="X10" s="14"/>
      <c r="Y10" s="14"/>
      <c r="Z10" s="33"/>
      <c r="AA10" s="34"/>
      <c r="AB10" s="28"/>
      <c r="AC10" s="35"/>
      <c r="AD10" s="25"/>
      <c r="AE10" s="34"/>
      <c r="AF10" s="28"/>
      <c r="AG10" s="28"/>
      <c r="AH10" s="28"/>
      <c r="AI10" s="36"/>
      <c r="AJ10" s="37"/>
      <c r="AK10" s="37"/>
      <c r="AL10" s="37"/>
      <c r="AM10" s="35"/>
      <c r="AN10" s="35"/>
      <c r="AO10" s="35"/>
      <c r="AP10" s="35"/>
      <c r="AQ10" s="35"/>
      <c r="AR10" s="35"/>
    </row>
    <row r="11">
      <c r="A11" s="26" t="s">
        <v>80</v>
      </c>
      <c r="B11" s="26" t="s">
        <v>81</v>
      </c>
      <c r="C11" s="27" t="s">
        <v>82</v>
      </c>
      <c r="D11" s="28">
        <v>55.0</v>
      </c>
      <c r="E11" s="28">
        <v>200.0</v>
      </c>
      <c r="F11" s="28">
        <v>3000.0</v>
      </c>
      <c r="G11" s="28">
        <v>0.0</v>
      </c>
      <c r="H11" s="28">
        <f t="shared" ref="H11:H25" si="15">D11*E11+F11-G11</f>
        <v>14000</v>
      </c>
      <c r="I11" s="28">
        <f t="shared" ref="I11:I25" si="16">R11*AI11</f>
        <v>700</v>
      </c>
      <c r="J11" s="29">
        <f t="shared" ref="J11:J25" si="17">H11+I11</f>
        <v>14700</v>
      </c>
      <c r="K11" s="30">
        <f t="shared" ref="K11:K25" si="18">ROUND((J11+N11)/E11,0)</f>
        <v>81</v>
      </c>
      <c r="L11" s="27" t="s">
        <v>44</v>
      </c>
      <c r="M11" s="26" t="s">
        <v>51</v>
      </c>
      <c r="N11" s="31">
        <v>1418.0</v>
      </c>
      <c r="O11" s="32" t="s">
        <v>44</v>
      </c>
      <c r="P11" s="26" t="s">
        <v>52</v>
      </c>
      <c r="Q11" s="26">
        <v>36.0</v>
      </c>
      <c r="R11" s="26">
        <v>5.0</v>
      </c>
      <c r="S11" s="28">
        <v>6500.0</v>
      </c>
      <c r="T11" s="28">
        <v>1000.0</v>
      </c>
      <c r="U11" s="28">
        <f t="shared" ref="U11:U25" si="19">S11-T11</f>
        <v>5500</v>
      </c>
      <c r="V11" s="26">
        <v>10.5</v>
      </c>
      <c r="W11" s="28">
        <f t="shared" ref="W11:W25" si="20">ROUND(U11*(V11/100),0)*1.1</f>
        <v>635.8</v>
      </c>
      <c r="X11" s="14">
        <v>0.0</v>
      </c>
      <c r="Y11" s="14">
        <v>0.0</v>
      </c>
      <c r="Z11" s="34">
        <f t="shared" ref="Z11:Z25" si="21">S11-T11-W11-X11-Y11</f>
        <v>4864.2</v>
      </c>
      <c r="AA11" s="34">
        <f t="shared" ref="AA11:AA25" si="22">(Z11-K11*Q11)/11</f>
        <v>177.1090909</v>
      </c>
      <c r="AB11" s="28">
        <f>K11*20</f>
        <v>1620</v>
      </c>
      <c r="AC11" s="36">
        <f t="shared" ref="AC11:AC25" si="23">Z11-(K11*Q11)-AA11</f>
        <v>1771.090909</v>
      </c>
      <c r="AD11" s="25">
        <f t="shared" ref="AD11:AD25" si="24">ROUND(AC11/U11, 3)*100</f>
        <v>32.2</v>
      </c>
      <c r="AE11" s="34">
        <f t="shared" ref="AE11:AE25" si="25">(AC11*R11)-AB11</f>
        <v>7235.454545</v>
      </c>
      <c r="AF11" s="28">
        <v>5400.0</v>
      </c>
      <c r="AG11" s="28">
        <v>60.0</v>
      </c>
      <c r="AH11" s="28">
        <v>3000.0</v>
      </c>
      <c r="AI11" s="36">
        <f t="shared" ref="AI11:AI25" si="26">sum(AF11+AH11)/AG11</f>
        <v>140</v>
      </c>
      <c r="AJ11" s="37">
        <v>5.0</v>
      </c>
      <c r="AK11" s="37">
        <f t="shared" ref="AK11:AK14" si="27">R11-AJ11</f>
        <v>0</v>
      </c>
      <c r="AL11" s="37" t="s">
        <v>48</v>
      </c>
      <c r="AM11" s="35"/>
      <c r="AN11" s="35"/>
      <c r="AO11" s="35">
        <f t="shared" ref="AO11:AP11" si="14">SUM(AO3:AO9)</f>
        <v>101</v>
      </c>
      <c r="AP11" s="38">
        <f t="shared" si="14"/>
        <v>146</v>
      </c>
      <c r="AQ11" s="35"/>
      <c r="AR11" s="35"/>
    </row>
    <row r="12">
      <c r="A12" s="39" t="s">
        <v>83</v>
      </c>
      <c r="B12" s="39" t="s">
        <v>84</v>
      </c>
      <c r="C12" s="39" t="s">
        <v>85</v>
      </c>
      <c r="D12" s="40">
        <v>1690.0</v>
      </c>
      <c r="E12" s="40">
        <v>12.0</v>
      </c>
      <c r="F12" s="40">
        <v>3000.0</v>
      </c>
      <c r="G12" s="40">
        <v>0.0</v>
      </c>
      <c r="H12" s="40">
        <f t="shared" si="15"/>
        <v>23280</v>
      </c>
      <c r="I12" s="40">
        <f t="shared" si="16"/>
        <v>294</v>
      </c>
      <c r="J12" s="41">
        <f t="shared" si="17"/>
        <v>23574</v>
      </c>
      <c r="K12" s="42">
        <f t="shared" si="18"/>
        <v>2083</v>
      </c>
      <c r="L12" s="43" t="s">
        <v>44</v>
      </c>
      <c r="M12" s="39" t="s">
        <v>51</v>
      </c>
      <c r="N12" s="44">
        <v>1416.0</v>
      </c>
      <c r="P12" s="39" t="s">
        <v>52</v>
      </c>
      <c r="Q12" s="39">
        <v>3.0</v>
      </c>
      <c r="R12" s="39">
        <v>3.0</v>
      </c>
      <c r="S12" s="40">
        <v>15900.0</v>
      </c>
      <c r="T12" s="40">
        <v>1000.0</v>
      </c>
      <c r="U12" s="40">
        <f t="shared" si="19"/>
        <v>14900</v>
      </c>
      <c r="V12" s="39">
        <v>10.5</v>
      </c>
      <c r="W12" s="40">
        <f t="shared" si="20"/>
        <v>1721.5</v>
      </c>
      <c r="X12" s="14">
        <v>0.0</v>
      </c>
      <c r="Y12" s="14">
        <v>0.0</v>
      </c>
      <c r="Z12" s="45">
        <f t="shared" si="21"/>
        <v>13178.5</v>
      </c>
      <c r="AA12" s="45">
        <f t="shared" si="22"/>
        <v>629.9545455</v>
      </c>
      <c r="AB12" s="40">
        <f>K12*3</f>
        <v>6249</v>
      </c>
      <c r="AC12" s="46">
        <f t="shared" si="23"/>
        <v>6299.545455</v>
      </c>
      <c r="AD12" s="21">
        <f t="shared" si="24"/>
        <v>42.3</v>
      </c>
      <c r="AE12" s="45">
        <f t="shared" si="25"/>
        <v>12649.63636</v>
      </c>
      <c r="AF12" s="40">
        <v>9800.0</v>
      </c>
      <c r="AG12" s="40">
        <v>100.0</v>
      </c>
      <c r="AH12" s="40">
        <v>0.0</v>
      </c>
      <c r="AI12" s="46">
        <f t="shared" si="26"/>
        <v>98</v>
      </c>
      <c r="AJ12" s="47">
        <v>3.0</v>
      </c>
      <c r="AK12" s="47">
        <f t="shared" si="27"/>
        <v>0</v>
      </c>
      <c r="AL12" s="47" t="s">
        <v>48</v>
      </c>
      <c r="AM12" s="39" t="s">
        <v>86</v>
      </c>
      <c r="AN12" s="48"/>
      <c r="AO12" s="48"/>
      <c r="AP12" s="48"/>
      <c r="AQ12" s="48"/>
      <c r="AR12" s="48"/>
    </row>
    <row r="13">
      <c r="A13" s="12" t="s">
        <v>87</v>
      </c>
      <c r="B13" s="12" t="s">
        <v>88</v>
      </c>
      <c r="C13" s="12" t="s">
        <v>50</v>
      </c>
      <c r="D13" s="14">
        <v>800.0</v>
      </c>
      <c r="E13" s="14">
        <v>21.0</v>
      </c>
      <c r="F13" s="14">
        <v>0.0</v>
      </c>
      <c r="G13" s="14">
        <v>0.0</v>
      </c>
      <c r="H13" s="14">
        <f t="shared" si="15"/>
        <v>16800</v>
      </c>
      <c r="I13" s="14">
        <f t="shared" si="16"/>
        <v>392</v>
      </c>
      <c r="J13" s="15">
        <f t="shared" si="17"/>
        <v>17192</v>
      </c>
      <c r="K13" s="16">
        <f t="shared" si="18"/>
        <v>886</v>
      </c>
      <c r="L13" s="13" t="s">
        <v>44</v>
      </c>
      <c r="M13" s="12" t="s">
        <v>51</v>
      </c>
      <c r="N13" s="17">
        <v>1416.0</v>
      </c>
      <c r="P13" s="12" t="s">
        <v>52</v>
      </c>
      <c r="Q13" s="12">
        <v>4.0</v>
      </c>
      <c r="R13" s="12">
        <v>4.0</v>
      </c>
      <c r="S13" s="14">
        <v>9500.0</v>
      </c>
      <c r="T13" s="14">
        <v>1500.0</v>
      </c>
      <c r="U13" s="14">
        <f t="shared" si="19"/>
        <v>8000</v>
      </c>
      <c r="V13" s="12">
        <v>10.5</v>
      </c>
      <c r="W13" s="14">
        <f t="shared" si="20"/>
        <v>924</v>
      </c>
      <c r="X13" s="14">
        <v>0.0</v>
      </c>
      <c r="Y13" s="14">
        <v>0.0</v>
      </c>
      <c r="Z13" s="19">
        <f t="shared" si="21"/>
        <v>7076</v>
      </c>
      <c r="AA13" s="19">
        <f t="shared" si="22"/>
        <v>321.0909091</v>
      </c>
      <c r="AB13" s="14">
        <f>K13*5</f>
        <v>4430</v>
      </c>
      <c r="AC13" s="20">
        <f t="shared" si="23"/>
        <v>3210.909091</v>
      </c>
      <c r="AD13" s="21">
        <f t="shared" si="24"/>
        <v>40.1</v>
      </c>
      <c r="AE13" s="19">
        <f t="shared" si="25"/>
        <v>8413.636364</v>
      </c>
      <c r="AF13" s="14">
        <v>9800.0</v>
      </c>
      <c r="AG13" s="14">
        <v>100.0</v>
      </c>
      <c r="AH13" s="14">
        <v>0.0</v>
      </c>
      <c r="AI13" s="20">
        <f t="shared" si="26"/>
        <v>98</v>
      </c>
      <c r="AJ13" s="8">
        <v>4.0</v>
      </c>
      <c r="AK13" s="8">
        <f t="shared" si="27"/>
        <v>0</v>
      </c>
      <c r="AL13" s="23" t="s">
        <v>48</v>
      </c>
      <c r="AM13" s="12"/>
      <c r="AN13" s="12" t="s">
        <v>89</v>
      </c>
      <c r="AO13" s="12">
        <v>4.0</v>
      </c>
      <c r="AP13" s="12">
        <v>4.0</v>
      </c>
      <c r="AQ13" s="9"/>
      <c r="AR13" s="9"/>
    </row>
    <row r="14">
      <c r="A14" s="12"/>
      <c r="B14" s="12"/>
      <c r="C14" s="12" t="s">
        <v>71</v>
      </c>
      <c r="D14" s="14">
        <v>800.0</v>
      </c>
      <c r="E14" s="14">
        <v>20.0</v>
      </c>
      <c r="F14" s="14">
        <v>1500.0</v>
      </c>
      <c r="G14" s="14">
        <v>0.0</v>
      </c>
      <c r="H14" s="14">
        <f t="shared" si="15"/>
        <v>17500</v>
      </c>
      <c r="I14" s="14">
        <f t="shared" si="16"/>
        <v>490</v>
      </c>
      <c r="J14" s="15">
        <f t="shared" si="17"/>
        <v>17990</v>
      </c>
      <c r="K14" s="16">
        <f t="shared" si="18"/>
        <v>980</v>
      </c>
      <c r="L14" s="13" t="s">
        <v>59</v>
      </c>
      <c r="M14" s="12" t="s">
        <v>74</v>
      </c>
      <c r="N14" s="49">
        <v>1616.0</v>
      </c>
      <c r="O14" s="13" t="s">
        <v>66</v>
      </c>
      <c r="P14" s="12" t="s">
        <v>90</v>
      </c>
      <c r="Q14" s="12">
        <v>4.0</v>
      </c>
      <c r="R14" s="12">
        <v>5.0</v>
      </c>
      <c r="S14" s="14">
        <v>9500.0</v>
      </c>
      <c r="T14" s="14">
        <v>100.0</v>
      </c>
      <c r="U14" s="14">
        <f t="shared" si="19"/>
        <v>9400</v>
      </c>
      <c r="V14" s="12">
        <v>10.5</v>
      </c>
      <c r="W14" s="14">
        <f t="shared" si="20"/>
        <v>1085.7</v>
      </c>
      <c r="X14" s="14">
        <v>800.0</v>
      </c>
      <c r="Y14" s="14">
        <v>1350.0</v>
      </c>
      <c r="Z14" s="19">
        <f t="shared" si="21"/>
        <v>6164.3</v>
      </c>
      <c r="AA14" s="19">
        <f t="shared" si="22"/>
        <v>204.0272727</v>
      </c>
      <c r="AB14" s="14">
        <f t="shared" ref="AB14:AB15" si="28">K14*0</f>
        <v>0</v>
      </c>
      <c r="AC14" s="20">
        <f t="shared" si="23"/>
        <v>2040.272727</v>
      </c>
      <c r="AD14" s="25">
        <f t="shared" si="24"/>
        <v>21.7</v>
      </c>
      <c r="AE14" s="19">
        <f t="shared" si="25"/>
        <v>10201.36364</v>
      </c>
      <c r="AF14" s="14">
        <v>9800.0</v>
      </c>
      <c r="AG14" s="14">
        <v>100.0</v>
      </c>
      <c r="AH14" s="14">
        <v>0.0</v>
      </c>
      <c r="AI14" s="20">
        <f t="shared" si="26"/>
        <v>98</v>
      </c>
      <c r="AJ14" s="8">
        <v>5.0</v>
      </c>
      <c r="AK14" s="8">
        <f t="shared" si="27"/>
        <v>0</v>
      </c>
      <c r="AL14" s="23" t="s">
        <v>48</v>
      </c>
      <c r="AM14" s="12"/>
      <c r="AN14" s="12" t="s">
        <v>91</v>
      </c>
      <c r="AO14" s="12">
        <v>5.0</v>
      </c>
      <c r="AP14" s="12">
        <v>5.0</v>
      </c>
      <c r="AQ14" s="12" t="s">
        <v>92</v>
      </c>
      <c r="AR14" s="9"/>
    </row>
    <row r="15">
      <c r="A15" s="12"/>
      <c r="B15" s="12"/>
      <c r="C15" s="12" t="s">
        <v>93</v>
      </c>
      <c r="D15" s="14">
        <v>720.0</v>
      </c>
      <c r="E15" s="14">
        <v>100.0</v>
      </c>
      <c r="F15" s="14">
        <v>3000.0</v>
      </c>
      <c r="G15" s="14">
        <v>0.0</v>
      </c>
      <c r="H15" s="14">
        <f t="shared" si="15"/>
        <v>75000</v>
      </c>
      <c r="I15" s="14">
        <f t="shared" si="16"/>
        <v>2450</v>
      </c>
      <c r="J15" s="15">
        <f t="shared" si="17"/>
        <v>77450</v>
      </c>
      <c r="K15" s="16">
        <f t="shared" si="18"/>
        <v>791</v>
      </c>
      <c r="L15" s="13"/>
      <c r="M15" s="12"/>
      <c r="N15" s="49">
        <v>1616.0</v>
      </c>
      <c r="O15" s="13"/>
      <c r="P15" s="12"/>
      <c r="Q15" s="12">
        <v>4.0</v>
      </c>
      <c r="R15" s="12">
        <v>25.0</v>
      </c>
      <c r="S15" s="14">
        <v>9500.0</v>
      </c>
      <c r="T15" s="14">
        <v>100.0</v>
      </c>
      <c r="U15" s="14">
        <f t="shared" si="19"/>
        <v>9400</v>
      </c>
      <c r="V15" s="12">
        <v>10.5</v>
      </c>
      <c r="W15" s="14">
        <f t="shared" si="20"/>
        <v>1085.7</v>
      </c>
      <c r="X15" s="14">
        <v>800.0</v>
      </c>
      <c r="Y15" s="14">
        <v>1350.0</v>
      </c>
      <c r="Z15" s="19">
        <f t="shared" si="21"/>
        <v>6164.3</v>
      </c>
      <c r="AA15" s="19">
        <f t="shared" si="22"/>
        <v>272.7545455</v>
      </c>
      <c r="AB15" s="14">
        <f t="shared" si="28"/>
        <v>0</v>
      </c>
      <c r="AC15" s="20">
        <f t="shared" si="23"/>
        <v>2727.545455</v>
      </c>
      <c r="AD15" s="25">
        <f t="shared" si="24"/>
        <v>29</v>
      </c>
      <c r="AE15" s="19">
        <f t="shared" si="25"/>
        <v>68188.63636</v>
      </c>
      <c r="AF15" s="14">
        <v>9800.0</v>
      </c>
      <c r="AG15" s="14">
        <v>100.0</v>
      </c>
      <c r="AH15" s="14">
        <v>0.0</v>
      </c>
      <c r="AI15" s="20">
        <f t="shared" si="26"/>
        <v>98</v>
      </c>
      <c r="AJ15" s="8"/>
      <c r="AK15" s="8"/>
      <c r="AL15" s="23"/>
      <c r="AM15" s="12"/>
      <c r="AN15" s="12"/>
      <c r="AO15" s="12"/>
      <c r="AP15" s="12">
        <v>4.0</v>
      </c>
      <c r="AQ15" s="12" t="s">
        <v>94</v>
      </c>
      <c r="AR15" s="9"/>
    </row>
    <row r="16">
      <c r="A16" s="50" t="s">
        <v>95</v>
      </c>
      <c r="B16" s="50" t="s">
        <v>96</v>
      </c>
      <c r="C16" s="51" t="s">
        <v>55</v>
      </c>
      <c r="D16" s="52">
        <v>1350.0</v>
      </c>
      <c r="E16" s="52">
        <v>12.0</v>
      </c>
      <c r="F16" s="52">
        <v>3000.0</v>
      </c>
      <c r="G16" s="52">
        <v>0.0</v>
      </c>
      <c r="H16" s="52">
        <f t="shared" si="15"/>
        <v>19200</v>
      </c>
      <c r="I16" s="52">
        <f t="shared" si="16"/>
        <v>330</v>
      </c>
      <c r="J16" s="53">
        <f t="shared" si="17"/>
        <v>19530</v>
      </c>
      <c r="K16" s="54">
        <f t="shared" si="18"/>
        <v>2032</v>
      </c>
      <c r="L16" s="55" t="s">
        <v>44</v>
      </c>
      <c r="M16" s="51" t="s">
        <v>60</v>
      </c>
      <c r="N16" s="56">
        <v>4850.0</v>
      </c>
      <c r="O16" s="55" t="s">
        <v>66</v>
      </c>
      <c r="P16" s="51" t="s">
        <v>61</v>
      </c>
      <c r="Q16" s="51">
        <v>3.0</v>
      </c>
      <c r="R16" s="51">
        <v>4.0</v>
      </c>
      <c r="S16" s="52">
        <v>14900.0</v>
      </c>
      <c r="T16" s="52">
        <v>1000.0</v>
      </c>
      <c r="U16" s="52">
        <f t="shared" si="19"/>
        <v>13900</v>
      </c>
      <c r="V16" s="51">
        <v>10.5</v>
      </c>
      <c r="W16" s="52">
        <f t="shared" si="20"/>
        <v>1606</v>
      </c>
      <c r="X16" s="52">
        <v>1025.0</v>
      </c>
      <c r="Y16" s="52">
        <v>1925.0</v>
      </c>
      <c r="Z16" s="57">
        <f t="shared" si="21"/>
        <v>9344</v>
      </c>
      <c r="AA16" s="57">
        <f t="shared" si="22"/>
        <v>295.2727273</v>
      </c>
      <c r="AB16" s="52">
        <v>0.0</v>
      </c>
      <c r="AC16" s="58">
        <f t="shared" si="23"/>
        <v>2952.727273</v>
      </c>
      <c r="AD16" s="59">
        <f t="shared" si="24"/>
        <v>21.2</v>
      </c>
      <c r="AE16" s="57">
        <f t="shared" si="25"/>
        <v>11810.90909</v>
      </c>
      <c r="AF16" s="52">
        <v>16500.0</v>
      </c>
      <c r="AG16" s="52">
        <v>200.0</v>
      </c>
      <c r="AH16" s="52">
        <v>0.0</v>
      </c>
      <c r="AI16" s="58">
        <f t="shared" si="26"/>
        <v>82.5</v>
      </c>
      <c r="AJ16" s="60">
        <v>0.0</v>
      </c>
      <c r="AK16" s="60">
        <f t="shared" ref="AK16:AK25" si="29">R16-AJ16</f>
        <v>4</v>
      </c>
      <c r="AL16" s="60" t="s">
        <v>76</v>
      </c>
      <c r="AM16" s="51" t="s">
        <v>97</v>
      </c>
      <c r="AN16" s="9"/>
      <c r="AO16" s="9"/>
      <c r="AP16" s="9"/>
      <c r="AQ16" s="12" t="s">
        <v>98</v>
      </c>
      <c r="AR16" s="9"/>
    </row>
    <row r="17">
      <c r="A17" s="51" t="s">
        <v>99</v>
      </c>
      <c r="B17" s="51" t="s">
        <v>100</v>
      </c>
      <c r="C17" s="51" t="s">
        <v>58</v>
      </c>
      <c r="D17" s="52">
        <v>3300.0</v>
      </c>
      <c r="E17" s="52">
        <v>7.0</v>
      </c>
      <c r="F17" s="52">
        <v>700.0</v>
      </c>
      <c r="G17" s="52">
        <v>0.0</v>
      </c>
      <c r="H17" s="52">
        <f t="shared" si="15"/>
        <v>23800</v>
      </c>
      <c r="I17" s="52">
        <f t="shared" si="16"/>
        <v>247.5</v>
      </c>
      <c r="J17" s="53">
        <f t="shared" si="17"/>
        <v>24047.5</v>
      </c>
      <c r="K17" s="54">
        <f t="shared" si="18"/>
        <v>3609</v>
      </c>
      <c r="L17" s="55" t="s">
        <v>59</v>
      </c>
      <c r="M17" s="51" t="s">
        <v>101</v>
      </c>
      <c r="N17" s="56">
        <v>1212.0</v>
      </c>
      <c r="O17" s="55" t="s">
        <v>66</v>
      </c>
      <c r="P17" s="51" t="s">
        <v>102</v>
      </c>
      <c r="Q17" s="51">
        <v>2.0</v>
      </c>
      <c r="R17" s="51">
        <v>3.0</v>
      </c>
      <c r="S17" s="52">
        <v>20800.0</v>
      </c>
      <c r="T17" s="52">
        <v>1000.0</v>
      </c>
      <c r="U17" s="52">
        <f t="shared" si="19"/>
        <v>19800</v>
      </c>
      <c r="V17" s="51">
        <v>10.5</v>
      </c>
      <c r="W17" s="52">
        <f t="shared" si="20"/>
        <v>2286.9</v>
      </c>
      <c r="X17" s="52">
        <v>1025.0</v>
      </c>
      <c r="Y17" s="52">
        <v>1925.0</v>
      </c>
      <c r="Z17" s="57">
        <f t="shared" si="21"/>
        <v>14563.1</v>
      </c>
      <c r="AA17" s="57">
        <f t="shared" si="22"/>
        <v>667.7363636</v>
      </c>
      <c r="AB17" s="52">
        <f>K17*1</f>
        <v>3609</v>
      </c>
      <c r="AC17" s="58">
        <f t="shared" si="23"/>
        <v>6677.363636</v>
      </c>
      <c r="AD17" s="59">
        <f t="shared" si="24"/>
        <v>33.7</v>
      </c>
      <c r="AE17" s="57">
        <f t="shared" si="25"/>
        <v>16423.09091</v>
      </c>
      <c r="AF17" s="52">
        <v>16500.0</v>
      </c>
      <c r="AG17" s="52">
        <v>200.0</v>
      </c>
      <c r="AH17" s="52">
        <v>0.0</v>
      </c>
      <c r="AI17" s="58">
        <f t="shared" si="26"/>
        <v>82.5</v>
      </c>
      <c r="AJ17" s="60">
        <v>2.0</v>
      </c>
      <c r="AK17" s="60">
        <f t="shared" si="29"/>
        <v>1</v>
      </c>
      <c r="AL17" s="60" t="s">
        <v>76</v>
      </c>
      <c r="AM17" s="51" t="s">
        <v>97</v>
      </c>
      <c r="AN17" s="12" t="s">
        <v>103</v>
      </c>
      <c r="AO17" s="12">
        <v>2.0</v>
      </c>
      <c r="AP17" s="12">
        <v>3.0</v>
      </c>
      <c r="AQ17" s="9"/>
      <c r="AR17" s="9"/>
    </row>
    <row r="18">
      <c r="A18" s="51"/>
      <c r="B18" s="51" t="s">
        <v>104</v>
      </c>
      <c r="C18" s="51" t="s">
        <v>58</v>
      </c>
      <c r="D18" s="52">
        <v>3300.0</v>
      </c>
      <c r="E18" s="52">
        <v>6.0</v>
      </c>
      <c r="F18" s="52">
        <v>800.0</v>
      </c>
      <c r="G18" s="52">
        <v>0.0</v>
      </c>
      <c r="H18" s="52">
        <f t="shared" si="15"/>
        <v>20600</v>
      </c>
      <c r="I18" s="52">
        <f t="shared" si="16"/>
        <v>247.5</v>
      </c>
      <c r="J18" s="53">
        <f t="shared" si="17"/>
        <v>20847.5</v>
      </c>
      <c r="K18" s="54">
        <f t="shared" si="18"/>
        <v>3677</v>
      </c>
      <c r="L18" s="55" t="s">
        <v>59</v>
      </c>
      <c r="M18" s="51" t="s">
        <v>101</v>
      </c>
      <c r="N18" s="56">
        <v>1213.0</v>
      </c>
      <c r="O18" s="55" t="s">
        <v>66</v>
      </c>
      <c r="P18" s="51" t="s">
        <v>102</v>
      </c>
      <c r="Q18" s="51">
        <v>2.0</v>
      </c>
      <c r="R18" s="51">
        <v>3.0</v>
      </c>
      <c r="S18" s="52">
        <v>20800.0</v>
      </c>
      <c r="T18" s="52">
        <v>1000.0</v>
      </c>
      <c r="U18" s="52">
        <f t="shared" si="19"/>
        <v>19800</v>
      </c>
      <c r="V18" s="51">
        <v>10.5</v>
      </c>
      <c r="W18" s="52">
        <f t="shared" si="20"/>
        <v>2286.9</v>
      </c>
      <c r="X18" s="52">
        <v>0.0</v>
      </c>
      <c r="Y18" s="52">
        <v>0.0</v>
      </c>
      <c r="Z18" s="57">
        <f t="shared" si="21"/>
        <v>17513.1</v>
      </c>
      <c r="AA18" s="57">
        <f t="shared" si="22"/>
        <v>923.5545455</v>
      </c>
      <c r="AB18" s="52">
        <f>K18*0</f>
        <v>0</v>
      </c>
      <c r="AC18" s="58">
        <f t="shared" si="23"/>
        <v>9235.545455</v>
      </c>
      <c r="AD18" s="59">
        <f t="shared" si="24"/>
        <v>46.6</v>
      </c>
      <c r="AE18" s="57">
        <f t="shared" si="25"/>
        <v>27706.63636</v>
      </c>
      <c r="AF18" s="52">
        <v>16500.0</v>
      </c>
      <c r="AG18" s="52">
        <v>200.0</v>
      </c>
      <c r="AH18" s="52">
        <v>0.0</v>
      </c>
      <c r="AI18" s="58">
        <f t="shared" si="26"/>
        <v>82.5</v>
      </c>
      <c r="AJ18" s="60">
        <v>0.0</v>
      </c>
      <c r="AK18" s="60">
        <f t="shared" si="29"/>
        <v>3</v>
      </c>
      <c r="AL18" s="60" t="s">
        <v>76</v>
      </c>
      <c r="AN18" s="9"/>
      <c r="AO18" s="9"/>
      <c r="AP18" s="9"/>
      <c r="AQ18" s="9"/>
      <c r="AR18" s="9"/>
    </row>
    <row r="19">
      <c r="A19" s="51"/>
      <c r="B19" s="51" t="s">
        <v>100</v>
      </c>
      <c r="C19" s="51" t="s">
        <v>70</v>
      </c>
      <c r="D19" s="52">
        <v>3500.0</v>
      </c>
      <c r="E19" s="52">
        <v>10.0</v>
      </c>
      <c r="F19" s="52">
        <v>3000.0</v>
      </c>
      <c r="G19" s="52">
        <v>0.0</v>
      </c>
      <c r="H19" s="52">
        <f t="shared" si="15"/>
        <v>38000</v>
      </c>
      <c r="I19" s="52">
        <f t="shared" si="16"/>
        <v>412.5</v>
      </c>
      <c r="J19" s="53">
        <f t="shared" si="17"/>
        <v>38412.5</v>
      </c>
      <c r="K19" s="54">
        <f t="shared" si="18"/>
        <v>4084</v>
      </c>
      <c r="L19" s="55" t="s">
        <v>59</v>
      </c>
      <c r="M19" s="51" t="s">
        <v>71</v>
      </c>
      <c r="N19" s="61">
        <v>2425.0</v>
      </c>
      <c r="O19" s="55" t="s">
        <v>66</v>
      </c>
      <c r="P19" s="51" t="s">
        <v>72</v>
      </c>
      <c r="Q19" s="51">
        <v>2.0</v>
      </c>
      <c r="R19" s="51">
        <v>5.0</v>
      </c>
      <c r="S19" s="52">
        <v>20800.0</v>
      </c>
      <c r="T19" s="52">
        <v>2300.0</v>
      </c>
      <c r="U19" s="52">
        <f t="shared" si="19"/>
        <v>18500</v>
      </c>
      <c r="V19" s="51">
        <v>10.5</v>
      </c>
      <c r="W19" s="52">
        <f t="shared" si="20"/>
        <v>2137.3</v>
      </c>
      <c r="X19" s="52">
        <v>1025.0</v>
      </c>
      <c r="Y19" s="52">
        <v>1925.0</v>
      </c>
      <c r="Z19" s="57">
        <f t="shared" si="21"/>
        <v>13412.7</v>
      </c>
      <c r="AA19" s="57">
        <f t="shared" si="22"/>
        <v>476.7909091</v>
      </c>
      <c r="AB19" s="52">
        <f>K19*1</f>
        <v>4084</v>
      </c>
      <c r="AC19" s="58">
        <f t="shared" si="23"/>
        <v>4767.909091</v>
      </c>
      <c r="AD19" s="59">
        <f t="shared" si="24"/>
        <v>25.8</v>
      </c>
      <c r="AE19" s="57">
        <f t="shared" si="25"/>
        <v>19755.54545</v>
      </c>
      <c r="AF19" s="52">
        <v>16500.0</v>
      </c>
      <c r="AG19" s="52">
        <v>200.0</v>
      </c>
      <c r="AH19" s="52">
        <v>0.0</v>
      </c>
      <c r="AI19" s="58">
        <f t="shared" si="26"/>
        <v>82.5</v>
      </c>
      <c r="AJ19" s="60">
        <v>0.0</v>
      </c>
      <c r="AK19" s="60">
        <f t="shared" si="29"/>
        <v>5</v>
      </c>
      <c r="AL19" s="60" t="s">
        <v>76</v>
      </c>
      <c r="AN19" s="9"/>
      <c r="AO19" s="9"/>
      <c r="AP19" s="9"/>
      <c r="AQ19" s="9"/>
      <c r="AR19" s="9"/>
    </row>
    <row r="20">
      <c r="A20" s="51" t="s">
        <v>105</v>
      </c>
      <c r="B20" s="51" t="s">
        <v>106</v>
      </c>
      <c r="C20" s="51" t="s">
        <v>107</v>
      </c>
      <c r="D20" s="52">
        <v>1110.0</v>
      </c>
      <c r="E20" s="52">
        <v>32.0</v>
      </c>
      <c r="F20" s="52">
        <v>0.0</v>
      </c>
      <c r="G20" s="52">
        <v>1161.0</v>
      </c>
      <c r="H20" s="52">
        <f t="shared" si="15"/>
        <v>34359</v>
      </c>
      <c r="I20" s="52">
        <f t="shared" si="16"/>
        <v>392</v>
      </c>
      <c r="J20" s="53">
        <f t="shared" si="17"/>
        <v>34751</v>
      </c>
      <c r="K20" s="54">
        <f t="shared" si="18"/>
        <v>1162</v>
      </c>
      <c r="L20" s="51" t="s">
        <v>59</v>
      </c>
      <c r="M20" s="51" t="s">
        <v>101</v>
      </c>
      <c r="N20" s="56">
        <v>2425.0</v>
      </c>
      <c r="O20" s="55" t="s">
        <v>66</v>
      </c>
      <c r="P20" s="51" t="s">
        <v>102</v>
      </c>
      <c r="Q20" s="51">
        <v>7.0</v>
      </c>
      <c r="R20" s="51">
        <v>4.0</v>
      </c>
      <c r="S20" s="52">
        <v>19800.0</v>
      </c>
      <c r="T20" s="52">
        <v>1800.0</v>
      </c>
      <c r="U20" s="52">
        <f t="shared" si="19"/>
        <v>18000</v>
      </c>
      <c r="V20" s="51">
        <v>10.5</v>
      </c>
      <c r="W20" s="52">
        <f t="shared" si="20"/>
        <v>2079</v>
      </c>
      <c r="X20" s="52">
        <v>1025.0</v>
      </c>
      <c r="Y20" s="52">
        <v>1925.0</v>
      </c>
      <c r="Z20" s="57">
        <f t="shared" si="21"/>
        <v>12971</v>
      </c>
      <c r="AA20" s="57">
        <f t="shared" si="22"/>
        <v>439.7272727</v>
      </c>
      <c r="AB20" s="52">
        <f>K20*4</f>
        <v>4648</v>
      </c>
      <c r="AC20" s="58">
        <f t="shared" si="23"/>
        <v>4397.272727</v>
      </c>
      <c r="AD20" s="59">
        <f t="shared" si="24"/>
        <v>24.4</v>
      </c>
      <c r="AE20" s="57">
        <f t="shared" si="25"/>
        <v>12941.09091</v>
      </c>
      <c r="AF20" s="52">
        <v>9800.0</v>
      </c>
      <c r="AG20" s="52">
        <v>100.0</v>
      </c>
      <c r="AH20" s="52">
        <v>0.0</v>
      </c>
      <c r="AI20" s="58">
        <f t="shared" si="26"/>
        <v>98</v>
      </c>
      <c r="AJ20" s="60">
        <v>1.0</v>
      </c>
      <c r="AK20" s="60">
        <f t="shared" si="29"/>
        <v>3</v>
      </c>
      <c r="AL20" s="60" t="s">
        <v>76</v>
      </c>
      <c r="AM20" s="51" t="s">
        <v>97</v>
      </c>
      <c r="AN20" s="12" t="s">
        <v>108</v>
      </c>
      <c r="AO20" s="12">
        <v>1.0</v>
      </c>
      <c r="AP20" s="12">
        <v>4.0</v>
      </c>
      <c r="AQ20" s="9"/>
      <c r="AR20" s="9"/>
    </row>
    <row r="21">
      <c r="A21" s="62" t="s">
        <v>109</v>
      </c>
      <c r="B21" s="62" t="s">
        <v>110</v>
      </c>
      <c r="C21" s="62" t="s">
        <v>101</v>
      </c>
      <c r="D21" s="63">
        <v>950.0</v>
      </c>
      <c r="E21" s="63">
        <v>16.0</v>
      </c>
      <c r="F21" s="63">
        <v>1500.0</v>
      </c>
      <c r="G21" s="63">
        <v>0.0</v>
      </c>
      <c r="H21" s="63">
        <f t="shared" si="15"/>
        <v>16700</v>
      </c>
      <c r="I21" s="63">
        <f t="shared" si="16"/>
        <v>490</v>
      </c>
      <c r="J21" s="64">
        <f t="shared" si="17"/>
        <v>17190</v>
      </c>
      <c r="K21" s="65">
        <f t="shared" si="18"/>
        <v>1226</v>
      </c>
      <c r="L21" s="62" t="s">
        <v>59</v>
      </c>
      <c r="M21" s="62" t="s">
        <v>111</v>
      </c>
      <c r="N21" s="66">
        <v>2425.0</v>
      </c>
      <c r="O21" s="67" t="s">
        <v>66</v>
      </c>
      <c r="P21" s="62" t="s">
        <v>112</v>
      </c>
      <c r="Q21" s="62">
        <v>2.0</v>
      </c>
      <c r="R21" s="62">
        <v>5.0</v>
      </c>
      <c r="S21" s="63">
        <v>6200.0</v>
      </c>
      <c r="T21" s="63">
        <v>0.0</v>
      </c>
      <c r="U21" s="63">
        <f t="shared" si="19"/>
        <v>6200</v>
      </c>
      <c r="V21" s="62">
        <v>10.8</v>
      </c>
      <c r="W21" s="63">
        <f t="shared" si="20"/>
        <v>737</v>
      </c>
      <c r="X21" s="63">
        <v>320.0</v>
      </c>
      <c r="Y21" s="63">
        <v>540.0</v>
      </c>
      <c r="Z21" s="68">
        <f t="shared" si="21"/>
        <v>4603</v>
      </c>
      <c r="AA21" s="68">
        <f t="shared" si="22"/>
        <v>195.5454545</v>
      </c>
      <c r="AB21" s="63">
        <f>K21*5</f>
        <v>6130</v>
      </c>
      <c r="AC21" s="69">
        <f t="shared" si="23"/>
        <v>1955.454545</v>
      </c>
      <c r="AD21" s="70">
        <f t="shared" si="24"/>
        <v>31.5</v>
      </c>
      <c r="AE21" s="68">
        <f t="shared" si="25"/>
        <v>3647.272727</v>
      </c>
      <c r="AF21" s="63">
        <v>9800.0</v>
      </c>
      <c r="AG21" s="63">
        <v>100.0</v>
      </c>
      <c r="AH21" s="63">
        <v>0.0</v>
      </c>
      <c r="AI21" s="69">
        <f t="shared" si="26"/>
        <v>98</v>
      </c>
      <c r="AJ21" s="71">
        <v>5.0</v>
      </c>
      <c r="AK21" s="71">
        <f t="shared" si="29"/>
        <v>0</v>
      </c>
      <c r="AL21" s="71" t="s">
        <v>48</v>
      </c>
      <c r="AM21" s="62" t="s">
        <v>113</v>
      </c>
      <c r="AN21" s="9"/>
      <c r="AO21" s="9"/>
      <c r="AP21" s="9"/>
      <c r="AQ21" s="9"/>
      <c r="AR21" s="9"/>
    </row>
    <row r="22">
      <c r="A22" s="51" t="s">
        <v>114</v>
      </c>
      <c r="B22" s="51" t="s">
        <v>115</v>
      </c>
      <c r="C22" s="51" t="s">
        <v>101</v>
      </c>
      <c r="D22" s="52">
        <v>4900.0</v>
      </c>
      <c r="E22" s="52">
        <v>6.0</v>
      </c>
      <c r="F22" s="52">
        <v>500.0</v>
      </c>
      <c r="G22" s="52">
        <v>0.0</v>
      </c>
      <c r="H22" s="52">
        <f t="shared" si="15"/>
        <v>29900</v>
      </c>
      <c r="I22" s="52">
        <f t="shared" si="16"/>
        <v>588</v>
      </c>
      <c r="J22" s="53">
        <f t="shared" si="17"/>
        <v>30488</v>
      </c>
      <c r="K22" s="54">
        <f t="shared" si="18"/>
        <v>5216</v>
      </c>
      <c r="L22" s="51" t="s">
        <v>59</v>
      </c>
      <c r="M22" s="51" t="s">
        <v>111</v>
      </c>
      <c r="N22" s="56">
        <v>805.0</v>
      </c>
      <c r="O22" s="55" t="s">
        <v>66</v>
      </c>
      <c r="P22" s="51" t="s">
        <v>112</v>
      </c>
      <c r="Q22" s="51">
        <v>1.0</v>
      </c>
      <c r="R22" s="51">
        <v>6.0</v>
      </c>
      <c r="S22" s="52">
        <v>10900.0</v>
      </c>
      <c r="T22" s="52">
        <v>1500.0</v>
      </c>
      <c r="U22" s="52">
        <f t="shared" si="19"/>
        <v>9400</v>
      </c>
      <c r="V22" s="51">
        <v>10.5</v>
      </c>
      <c r="W22" s="52">
        <f t="shared" si="20"/>
        <v>1085.7</v>
      </c>
      <c r="X22" s="52">
        <v>0.0</v>
      </c>
      <c r="Y22" s="52">
        <v>0.0</v>
      </c>
      <c r="Z22" s="57">
        <f t="shared" si="21"/>
        <v>8314.3</v>
      </c>
      <c r="AA22" s="57">
        <f t="shared" si="22"/>
        <v>281.6636364</v>
      </c>
      <c r="AB22" s="52">
        <f t="shared" ref="AB22:AB23" si="30">K22*0</f>
        <v>0</v>
      </c>
      <c r="AC22" s="58">
        <f t="shared" si="23"/>
        <v>2816.636364</v>
      </c>
      <c r="AD22" s="72">
        <f t="shared" si="24"/>
        <v>30</v>
      </c>
      <c r="AE22" s="57">
        <f t="shared" si="25"/>
        <v>16899.81818</v>
      </c>
      <c r="AF22" s="52">
        <v>9800.0</v>
      </c>
      <c r="AG22" s="52">
        <v>100.0</v>
      </c>
      <c r="AH22" s="52">
        <v>0.0</v>
      </c>
      <c r="AI22" s="58">
        <f t="shared" si="26"/>
        <v>98</v>
      </c>
      <c r="AJ22" s="60">
        <v>0.0</v>
      </c>
      <c r="AK22" s="60">
        <f t="shared" si="29"/>
        <v>6</v>
      </c>
      <c r="AL22" s="60" t="s">
        <v>76</v>
      </c>
      <c r="AM22" s="51" t="s">
        <v>97</v>
      </c>
      <c r="AN22" s="9"/>
      <c r="AO22" s="9"/>
      <c r="AP22" s="9"/>
      <c r="AQ22" s="9"/>
      <c r="AR22" s="9"/>
    </row>
    <row r="23">
      <c r="A23" s="51"/>
      <c r="B23" s="51" t="s">
        <v>116</v>
      </c>
      <c r="C23" s="51" t="s">
        <v>101</v>
      </c>
      <c r="D23" s="52">
        <v>4900.0</v>
      </c>
      <c r="E23" s="52">
        <v>5.0</v>
      </c>
      <c r="F23" s="52">
        <v>500.0</v>
      </c>
      <c r="G23" s="52">
        <v>0.0</v>
      </c>
      <c r="H23" s="52">
        <f t="shared" si="15"/>
        <v>25000</v>
      </c>
      <c r="I23" s="52">
        <f t="shared" si="16"/>
        <v>490</v>
      </c>
      <c r="J23" s="53">
        <f t="shared" si="17"/>
        <v>25490</v>
      </c>
      <c r="K23" s="54">
        <f t="shared" si="18"/>
        <v>5260</v>
      </c>
      <c r="L23" s="51" t="s">
        <v>59</v>
      </c>
      <c r="M23" s="51" t="s">
        <v>111</v>
      </c>
      <c r="N23" s="56">
        <v>810.0</v>
      </c>
      <c r="O23" s="55" t="s">
        <v>66</v>
      </c>
      <c r="P23" s="51" t="s">
        <v>112</v>
      </c>
      <c r="Q23" s="51">
        <v>1.0</v>
      </c>
      <c r="R23" s="51">
        <v>5.0</v>
      </c>
      <c r="S23" s="52">
        <v>10900.0</v>
      </c>
      <c r="T23" s="52">
        <v>1500.0</v>
      </c>
      <c r="U23" s="52">
        <f t="shared" si="19"/>
        <v>9400</v>
      </c>
      <c r="V23" s="51">
        <v>10.5</v>
      </c>
      <c r="W23" s="52">
        <f t="shared" si="20"/>
        <v>1085.7</v>
      </c>
      <c r="X23" s="52">
        <v>0.0</v>
      </c>
      <c r="Y23" s="52">
        <v>0.0</v>
      </c>
      <c r="Z23" s="57">
        <f t="shared" si="21"/>
        <v>8314.3</v>
      </c>
      <c r="AA23" s="57">
        <f t="shared" si="22"/>
        <v>277.6636364</v>
      </c>
      <c r="AB23" s="52">
        <f t="shared" si="30"/>
        <v>0</v>
      </c>
      <c r="AC23" s="58">
        <f t="shared" si="23"/>
        <v>2776.636364</v>
      </c>
      <c r="AD23" s="73">
        <f t="shared" si="24"/>
        <v>29.5</v>
      </c>
      <c r="AE23" s="57">
        <f t="shared" si="25"/>
        <v>13883.18182</v>
      </c>
      <c r="AF23" s="52">
        <v>9800.0</v>
      </c>
      <c r="AG23" s="52">
        <v>100.0</v>
      </c>
      <c r="AH23" s="52">
        <v>0.0</v>
      </c>
      <c r="AI23" s="58">
        <f t="shared" si="26"/>
        <v>98</v>
      </c>
      <c r="AJ23" s="60">
        <v>0.0</v>
      </c>
      <c r="AK23" s="60">
        <f t="shared" si="29"/>
        <v>5</v>
      </c>
      <c r="AL23" s="60" t="s">
        <v>76</v>
      </c>
      <c r="AN23" s="9"/>
      <c r="AO23" s="9"/>
      <c r="AP23" s="9"/>
      <c r="AQ23" s="9"/>
      <c r="AR23" s="9"/>
    </row>
    <row r="24">
      <c r="A24" s="51"/>
      <c r="B24" s="51" t="s">
        <v>117</v>
      </c>
      <c r="C24" s="51" t="s">
        <v>101</v>
      </c>
      <c r="D24" s="52">
        <v>4900.0</v>
      </c>
      <c r="E24" s="52">
        <v>5.0</v>
      </c>
      <c r="F24" s="52">
        <v>500.0</v>
      </c>
      <c r="G24" s="52">
        <v>0.0</v>
      </c>
      <c r="H24" s="52">
        <f t="shared" si="15"/>
        <v>25000</v>
      </c>
      <c r="I24" s="52">
        <f t="shared" si="16"/>
        <v>392</v>
      </c>
      <c r="J24" s="53">
        <f t="shared" si="17"/>
        <v>25392</v>
      </c>
      <c r="K24" s="54">
        <f t="shared" si="18"/>
        <v>5240</v>
      </c>
      <c r="L24" s="51" t="s">
        <v>59</v>
      </c>
      <c r="M24" s="51" t="s">
        <v>111</v>
      </c>
      <c r="N24" s="56">
        <v>810.0</v>
      </c>
      <c r="O24" s="55" t="s">
        <v>66</v>
      </c>
      <c r="P24" s="51" t="s">
        <v>112</v>
      </c>
      <c r="Q24" s="51">
        <v>1.0</v>
      </c>
      <c r="R24" s="51">
        <v>4.0</v>
      </c>
      <c r="S24" s="52">
        <v>10900.0</v>
      </c>
      <c r="T24" s="52">
        <v>1500.0</v>
      </c>
      <c r="U24" s="52">
        <f t="shared" si="19"/>
        <v>9400</v>
      </c>
      <c r="V24" s="51">
        <v>10.5</v>
      </c>
      <c r="W24" s="52">
        <f t="shared" si="20"/>
        <v>1085.7</v>
      </c>
      <c r="X24" s="52">
        <v>0.0</v>
      </c>
      <c r="Y24" s="52">
        <v>0.0</v>
      </c>
      <c r="Z24" s="57">
        <f t="shared" si="21"/>
        <v>8314.3</v>
      </c>
      <c r="AA24" s="57">
        <f t="shared" si="22"/>
        <v>279.4818182</v>
      </c>
      <c r="AB24" s="52">
        <f t="shared" ref="AB24:AB25" si="31">K24*1</f>
        <v>5240</v>
      </c>
      <c r="AC24" s="58">
        <f t="shared" si="23"/>
        <v>2794.818182</v>
      </c>
      <c r="AD24" s="73">
        <f t="shared" si="24"/>
        <v>29.7</v>
      </c>
      <c r="AE24" s="57">
        <f t="shared" si="25"/>
        <v>5939.272727</v>
      </c>
      <c r="AF24" s="52">
        <v>9800.0</v>
      </c>
      <c r="AG24" s="52">
        <v>100.0</v>
      </c>
      <c r="AH24" s="52">
        <v>0.0</v>
      </c>
      <c r="AI24" s="58">
        <f t="shared" si="26"/>
        <v>98</v>
      </c>
      <c r="AJ24" s="60">
        <v>0.0</v>
      </c>
      <c r="AK24" s="60">
        <f t="shared" si="29"/>
        <v>4</v>
      </c>
      <c r="AL24" s="60" t="s">
        <v>76</v>
      </c>
      <c r="AN24" s="9"/>
      <c r="AO24" s="9"/>
      <c r="AP24" s="9"/>
      <c r="AQ24" s="9"/>
      <c r="AR24" s="9"/>
    </row>
    <row r="25">
      <c r="A25" s="12" t="s">
        <v>118</v>
      </c>
      <c r="B25" s="12" t="s">
        <v>119</v>
      </c>
      <c r="C25" s="12" t="s">
        <v>63</v>
      </c>
      <c r="D25" s="14">
        <v>760.0</v>
      </c>
      <c r="E25" s="14">
        <v>13.0</v>
      </c>
      <c r="F25" s="14">
        <v>800.0</v>
      </c>
      <c r="G25" s="14">
        <v>0.0</v>
      </c>
      <c r="H25" s="14">
        <f t="shared" si="15"/>
        <v>10680</v>
      </c>
      <c r="I25" s="14">
        <f t="shared" si="16"/>
        <v>392</v>
      </c>
      <c r="J25" s="15">
        <f t="shared" si="17"/>
        <v>11072</v>
      </c>
      <c r="K25" s="16">
        <f t="shared" si="18"/>
        <v>945</v>
      </c>
      <c r="L25" s="12" t="s">
        <v>59</v>
      </c>
      <c r="M25" s="12" t="s">
        <v>111</v>
      </c>
      <c r="N25" s="49">
        <v>1213.0</v>
      </c>
      <c r="O25" s="13" t="s">
        <v>66</v>
      </c>
      <c r="P25" s="12" t="s">
        <v>112</v>
      </c>
      <c r="Q25" s="12">
        <v>3.0</v>
      </c>
      <c r="R25" s="12">
        <v>4.0</v>
      </c>
      <c r="S25" s="14">
        <v>9600.0</v>
      </c>
      <c r="T25" s="14">
        <v>0.0</v>
      </c>
      <c r="U25" s="14">
        <f t="shared" si="19"/>
        <v>9600</v>
      </c>
      <c r="V25" s="12">
        <v>10.5</v>
      </c>
      <c r="W25" s="14">
        <f t="shared" si="20"/>
        <v>1108.8</v>
      </c>
      <c r="X25" s="14">
        <v>900.0</v>
      </c>
      <c r="Y25" s="14">
        <v>1350.0</v>
      </c>
      <c r="Z25" s="19">
        <f t="shared" si="21"/>
        <v>6241.2</v>
      </c>
      <c r="AA25" s="19">
        <f t="shared" si="22"/>
        <v>309.6545455</v>
      </c>
      <c r="AB25" s="14">
        <f t="shared" si="31"/>
        <v>945</v>
      </c>
      <c r="AC25" s="20">
        <f t="shared" si="23"/>
        <v>3096.545455</v>
      </c>
      <c r="AD25" s="25">
        <f t="shared" si="24"/>
        <v>32.3</v>
      </c>
      <c r="AE25" s="19">
        <f t="shared" si="25"/>
        <v>11441.18182</v>
      </c>
      <c r="AF25" s="14">
        <v>9800.0</v>
      </c>
      <c r="AG25" s="14">
        <v>100.0</v>
      </c>
      <c r="AH25" s="14">
        <v>0.0</v>
      </c>
      <c r="AI25" s="20">
        <f t="shared" si="26"/>
        <v>98</v>
      </c>
      <c r="AJ25" s="8">
        <v>2.0</v>
      </c>
      <c r="AK25" s="8">
        <f t="shared" si="29"/>
        <v>2</v>
      </c>
      <c r="AL25" s="8" t="s">
        <v>76</v>
      </c>
      <c r="AM25" s="9"/>
      <c r="AN25" s="12" t="s">
        <v>120</v>
      </c>
      <c r="AO25" s="12">
        <v>2.0</v>
      </c>
      <c r="AP25" s="12">
        <v>4.0</v>
      </c>
      <c r="AQ25" s="9"/>
      <c r="AR25" s="9"/>
    </row>
    <row r="26">
      <c r="A26" s="12"/>
      <c r="B26" s="12"/>
      <c r="C26" s="12"/>
      <c r="D26" s="14"/>
      <c r="E26" s="14"/>
      <c r="F26" s="14"/>
      <c r="G26" s="14"/>
      <c r="H26" s="14"/>
      <c r="I26" s="14"/>
      <c r="J26" s="15"/>
      <c r="K26" s="16"/>
      <c r="L26" s="12"/>
      <c r="M26" s="12"/>
      <c r="N26" s="49"/>
      <c r="O26" s="13"/>
      <c r="P26" s="12"/>
      <c r="Q26" s="12"/>
      <c r="R26" s="12"/>
      <c r="S26" s="14"/>
      <c r="T26" s="14"/>
      <c r="U26" s="14"/>
      <c r="V26" s="12"/>
      <c r="W26" s="14"/>
      <c r="X26" s="14"/>
      <c r="Y26" s="14"/>
      <c r="Z26" s="74"/>
      <c r="AA26" s="19"/>
      <c r="AB26" s="14"/>
      <c r="AC26" s="9"/>
      <c r="AD26" s="25"/>
      <c r="AE26" s="19"/>
      <c r="AF26" s="14"/>
      <c r="AG26" s="14"/>
      <c r="AH26" s="14"/>
      <c r="AI26" s="20"/>
      <c r="AJ26" s="8"/>
      <c r="AK26" s="8"/>
      <c r="AL26" s="8"/>
      <c r="AM26" s="9"/>
      <c r="AN26" s="12"/>
      <c r="AO26" s="12"/>
      <c r="AP26" s="12"/>
      <c r="AQ26" s="9"/>
      <c r="AR26" s="9"/>
    </row>
    <row r="27">
      <c r="A27" s="12"/>
      <c r="B27" s="12" t="s">
        <v>121</v>
      </c>
      <c r="C27" s="12" t="s">
        <v>63</v>
      </c>
      <c r="D27" s="14">
        <v>760.0</v>
      </c>
      <c r="E27" s="14">
        <v>12.0</v>
      </c>
      <c r="F27" s="14">
        <v>700.0</v>
      </c>
      <c r="G27" s="14">
        <v>0.0</v>
      </c>
      <c r="H27" s="14">
        <f>D27*E27+F27-G27</f>
        <v>9820</v>
      </c>
      <c r="I27" s="14">
        <f>R27*AI27</f>
        <v>392</v>
      </c>
      <c r="J27" s="15">
        <f>H27+I27</f>
        <v>10212</v>
      </c>
      <c r="K27" s="16">
        <f>ROUND((J27+N27)/E27,0)</f>
        <v>952</v>
      </c>
      <c r="L27" s="12" t="s">
        <v>59</v>
      </c>
      <c r="M27" s="12" t="s">
        <v>111</v>
      </c>
      <c r="N27" s="49">
        <v>1212.0</v>
      </c>
      <c r="O27" s="13" t="s">
        <v>66</v>
      </c>
      <c r="P27" s="12" t="s">
        <v>112</v>
      </c>
      <c r="Q27" s="12">
        <v>3.0</v>
      </c>
      <c r="R27" s="12">
        <v>4.0</v>
      </c>
      <c r="S27" s="14">
        <v>9600.0</v>
      </c>
      <c r="T27" s="14">
        <v>100.0</v>
      </c>
      <c r="U27" s="14">
        <f>S27-T27</f>
        <v>9500</v>
      </c>
      <c r="V27" s="12">
        <v>10.5</v>
      </c>
      <c r="W27" s="14">
        <f>ROUND(U27*(V27/100),0)*1.1</f>
        <v>1097.8</v>
      </c>
      <c r="X27" s="14">
        <v>900.0</v>
      </c>
      <c r="Y27" s="14">
        <v>1350.0</v>
      </c>
      <c r="Z27" s="19">
        <f>S27-T27-W27-X27-Y27</f>
        <v>6152.2</v>
      </c>
      <c r="AA27" s="19">
        <f>(Z27-K27*Q27)/11</f>
        <v>299.6545455</v>
      </c>
      <c r="AB27" s="14">
        <f>K27*0</f>
        <v>0</v>
      </c>
      <c r="AC27" s="20">
        <f>Z27-(K27*Q27)-AA27</f>
        <v>2996.545455</v>
      </c>
      <c r="AD27" s="25">
        <f>ROUND(AC27/U27, 3)*100</f>
        <v>31.5</v>
      </c>
      <c r="AE27" s="19">
        <f>(AC27*R27)-AB27</f>
        <v>11986.18182</v>
      </c>
      <c r="AF27" s="14">
        <v>9800.0</v>
      </c>
      <c r="AG27" s="14">
        <v>100.0</v>
      </c>
      <c r="AH27" s="14">
        <v>0.0</v>
      </c>
      <c r="AI27" s="20">
        <f>sum(AF27+AH27)/AG27</f>
        <v>98</v>
      </c>
      <c r="AJ27" s="8">
        <v>4.0</v>
      </c>
      <c r="AK27" s="8">
        <f>R27-AJ27</f>
        <v>0</v>
      </c>
      <c r="AL27" s="23" t="s">
        <v>48</v>
      </c>
      <c r="AM27" s="9"/>
      <c r="AN27" s="9"/>
      <c r="AO27" s="9"/>
      <c r="AP27" s="9"/>
      <c r="AQ27" s="9"/>
      <c r="AR27" s="9"/>
    </row>
    <row r="28">
      <c r="A28" s="12"/>
      <c r="B28" s="12"/>
      <c r="C28" s="12"/>
      <c r="D28" s="14"/>
      <c r="E28" s="14"/>
      <c r="F28" s="14"/>
      <c r="G28" s="14"/>
      <c r="H28" s="14"/>
      <c r="I28" s="14"/>
      <c r="J28" s="15"/>
      <c r="K28" s="16"/>
      <c r="L28" s="12"/>
      <c r="M28" s="12"/>
      <c r="N28" s="49"/>
      <c r="O28" s="13"/>
      <c r="P28" s="12"/>
      <c r="Q28" s="12"/>
      <c r="R28" s="12"/>
      <c r="S28" s="14"/>
      <c r="T28" s="14"/>
      <c r="U28" s="14"/>
      <c r="V28" s="12"/>
      <c r="W28" s="14"/>
      <c r="X28" s="14"/>
      <c r="Y28" s="14"/>
      <c r="Z28" s="74"/>
      <c r="AA28" s="19"/>
      <c r="AB28" s="14"/>
      <c r="AC28" s="9"/>
      <c r="AD28" s="25"/>
      <c r="AE28" s="19"/>
      <c r="AF28" s="14"/>
      <c r="AG28" s="14"/>
      <c r="AH28" s="14"/>
      <c r="AI28" s="20"/>
      <c r="AJ28" s="8"/>
      <c r="AK28" s="8"/>
      <c r="AL28" s="8"/>
      <c r="AM28" s="9"/>
      <c r="AN28" s="9"/>
      <c r="AO28" s="9"/>
      <c r="AP28" s="9"/>
      <c r="AQ28" s="9"/>
      <c r="AR28" s="9"/>
    </row>
    <row r="29">
      <c r="A29" s="12" t="s">
        <v>122</v>
      </c>
      <c r="B29" s="12" t="s">
        <v>123</v>
      </c>
      <c r="C29" s="12" t="s">
        <v>63</v>
      </c>
      <c r="D29" s="14">
        <v>850.0</v>
      </c>
      <c r="E29" s="14">
        <v>16.0</v>
      </c>
      <c r="F29" s="14">
        <v>1500.0</v>
      </c>
      <c r="G29" s="14">
        <v>0.0</v>
      </c>
      <c r="H29" s="14">
        <f t="shared" ref="H29:H33" si="32">D29*E29+F29-G29</f>
        <v>15100</v>
      </c>
      <c r="I29" s="14">
        <f t="shared" ref="I29:I33" si="33">R29*AI29</f>
        <v>392</v>
      </c>
      <c r="J29" s="15">
        <f t="shared" ref="J29:J33" si="34">H29+I29</f>
        <v>15492</v>
      </c>
      <c r="K29" s="16">
        <f t="shared" ref="K29:K33" si="35">ROUND((J29+N29)/E29,0)</f>
        <v>1069</v>
      </c>
      <c r="L29" s="12" t="s">
        <v>59</v>
      </c>
      <c r="M29" s="12" t="s">
        <v>74</v>
      </c>
      <c r="N29" s="49">
        <v>1616.0</v>
      </c>
      <c r="O29" s="13" t="s">
        <v>66</v>
      </c>
      <c r="P29" s="12" t="s">
        <v>90</v>
      </c>
      <c r="Q29" s="12">
        <v>3.0</v>
      </c>
      <c r="R29" s="12">
        <v>4.0</v>
      </c>
      <c r="S29" s="14">
        <v>11800.0</v>
      </c>
      <c r="T29" s="14">
        <v>1000.0</v>
      </c>
      <c r="U29" s="14">
        <f t="shared" ref="U29:U33" si="36">S29-T29</f>
        <v>10800</v>
      </c>
      <c r="V29" s="12">
        <v>10.5</v>
      </c>
      <c r="W29" s="14">
        <f t="shared" ref="W29:W33" si="37">ROUND(U29*(V29/100),0)*1.1</f>
        <v>1247.4</v>
      </c>
      <c r="X29" s="14">
        <v>0.0</v>
      </c>
      <c r="Y29" s="14">
        <v>0.0</v>
      </c>
      <c r="Z29" s="19">
        <f t="shared" ref="Z29:Z33" si="38">S29-T29-W29-X29-Y29</f>
        <v>9552.6</v>
      </c>
      <c r="AA29" s="19">
        <f t="shared" ref="AA29:AA33" si="39">(Z29-K29*Q29)/11</f>
        <v>576.8727273</v>
      </c>
      <c r="AB29" s="14">
        <f>K29*4</f>
        <v>4276</v>
      </c>
      <c r="AC29" s="20">
        <f t="shared" ref="AC29:AC33" si="40">Z29-(K29*Q29)-AA29</f>
        <v>5768.727273</v>
      </c>
      <c r="AD29" s="25">
        <f t="shared" ref="AD29:AD33" si="41">ROUND(AC29/U29, 3)*100</f>
        <v>53.4</v>
      </c>
      <c r="AE29" s="19">
        <f t="shared" ref="AE29:AE33" si="42">(AC29*R29)-AB29</f>
        <v>18798.90909</v>
      </c>
      <c r="AF29" s="14">
        <v>9800.0</v>
      </c>
      <c r="AG29" s="14">
        <v>100.0</v>
      </c>
      <c r="AH29" s="14">
        <v>0.0</v>
      </c>
      <c r="AI29" s="20">
        <f t="shared" ref="AI29:AI33" si="43">sum(AF29+AH29)/AG29</f>
        <v>98</v>
      </c>
      <c r="AJ29" s="8">
        <v>0.0</v>
      </c>
      <c r="AK29" s="8">
        <f t="shared" ref="AK29:AK30" si="44">R29-AJ29</f>
        <v>4</v>
      </c>
      <c r="AL29" s="8" t="s">
        <v>76</v>
      </c>
      <c r="AM29" s="11" t="s">
        <v>124</v>
      </c>
      <c r="AN29" s="9"/>
      <c r="AO29" s="9"/>
      <c r="AP29" s="9"/>
      <c r="AQ29" s="9"/>
      <c r="AR29" s="9"/>
    </row>
    <row r="30">
      <c r="A30" s="12" t="s">
        <v>125</v>
      </c>
      <c r="B30" s="12" t="s">
        <v>126</v>
      </c>
      <c r="C30" s="12" t="s">
        <v>71</v>
      </c>
      <c r="D30" s="14">
        <v>1500.0</v>
      </c>
      <c r="E30" s="14">
        <v>14.0</v>
      </c>
      <c r="F30" s="14">
        <v>3000.0</v>
      </c>
      <c r="G30" s="14">
        <v>0.0</v>
      </c>
      <c r="H30" s="14">
        <f t="shared" si="32"/>
        <v>24000</v>
      </c>
      <c r="I30" s="14">
        <f t="shared" si="33"/>
        <v>588</v>
      </c>
      <c r="J30" s="15">
        <f t="shared" si="34"/>
        <v>24588</v>
      </c>
      <c r="K30" s="16">
        <f t="shared" si="35"/>
        <v>1908</v>
      </c>
      <c r="L30" s="12" t="s">
        <v>59</v>
      </c>
      <c r="M30" s="12" t="s">
        <v>127</v>
      </c>
      <c r="N30" s="49">
        <v>2125.0</v>
      </c>
      <c r="O30" s="13" t="s">
        <v>66</v>
      </c>
      <c r="P30" s="12" t="s">
        <v>128</v>
      </c>
      <c r="Q30" s="12">
        <v>2.0</v>
      </c>
      <c r="R30" s="12">
        <v>6.0</v>
      </c>
      <c r="S30" s="14">
        <v>10900.0</v>
      </c>
      <c r="T30" s="14">
        <v>500.0</v>
      </c>
      <c r="U30" s="14">
        <f t="shared" si="36"/>
        <v>10400</v>
      </c>
      <c r="V30" s="12">
        <v>10.5</v>
      </c>
      <c r="W30" s="14">
        <f t="shared" si="37"/>
        <v>1201.2</v>
      </c>
      <c r="X30" s="14">
        <v>0.0</v>
      </c>
      <c r="Y30" s="14">
        <v>0.0</v>
      </c>
      <c r="Z30" s="19">
        <f t="shared" si="38"/>
        <v>9198.8</v>
      </c>
      <c r="AA30" s="19">
        <f t="shared" si="39"/>
        <v>489.3454545</v>
      </c>
      <c r="AB30" s="14">
        <f>K30*2</f>
        <v>3816</v>
      </c>
      <c r="AC30" s="20">
        <f t="shared" si="40"/>
        <v>4893.454545</v>
      </c>
      <c r="AD30" s="25">
        <f t="shared" si="41"/>
        <v>47.1</v>
      </c>
      <c r="AE30" s="19">
        <f t="shared" si="42"/>
        <v>25544.72727</v>
      </c>
      <c r="AF30" s="14">
        <v>9800.0</v>
      </c>
      <c r="AG30" s="14">
        <v>100.0</v>
      </c>
      <c r="AH30" s="14">
        <v>0.0</v>
      </c>
      <c r="AI30" s="20">
        <f t="shared" si="43"/>
        <v>98</v>
      </c>
      <c r="AJ30" s="8">
        <v>2.0</v>
      </c>
      <c r="AK30" s="8">
        <f t="shared" si="44"/>
        <v>4</v>
      </c>
      <c r="AL30" s="8" t="s">
        <v>76</v>
      </c>
      <c r="AM30" s="11" t="s">
        <v>129</v>
      </c>
      <c r="AN30" s="9"/>
      <c r="AO30" s="9"/>
      <c r="AP30" s="9"/>
      <c r="AQ30" s="9"/>
      <c r="AR30" s="9"/>
    </row>
    <row r="31">
      <c r="A31" s="12"/>
      <c r="B31" s="12"/>
      <c r="C31" s="12"/>
      <c r="D31" s="14">
        <v>1500.0</v>
      </c>
      <c r="E31" s="14">
        <v>10.0</v>
      </c>
      <c r="F31" s="14">
        <v>1500.0</v>
      </c>
      <c r="G31" s="14">
        <v>0.0</v>
      </c>
      <c r="H31" s="14">
        <f t="shared" si="32"/>
        <v>16500</v>
      </c>
      <c r="I31" s="14">
        <f t="shared" si="33"/>
        <v>490</v>
      </c>
      <c r="J31" s="15">
        <f t="shared" si="34"/>
        <v>16990</v>
      </c>
      <c r="K31" s="16">
        <f t="shared" si="35"/>
        <v>1912</v>
      </c>
      <c r="L31" s="12" t="s">
        <v>59</v>
      </c>
      <c r="M31" s="12"/>
      <c r="N31" s="49">
        <v>2125.0</v>
      </c>
      <c r="O31" s="13" t="s">
        <v>66</v>
      </c>
      <c r="P31" s="12"/>
      <c r="Q31" s="12">
        <v>2.0</v>
      </c>
      <c r="R31" s="12">
        <v>5.0</v>
      </c>
      <c r="S31" s="14">
        <v>10900.0</v>
      </c>
      <c r="T31" s="14">
        <v>100.0</v>
      </c>
      <c r="U31" s="14">
        <f t="shared" si="36"/>
        <v>10800</v>
      </c>
      <c r="V31" s="12">
        <v>10.5</v>
      </c>
      <c r="W31" s="14">
        <f t="shared" si="37"/>
        <v>1247.4</v>
      </c>
      <c r="X31" s="14">
        <v>800.0</v>
      </c>
      <c r="Y31" s="14">
        <v>1350.0</v>
      </c>
      <c r="Z31" s="19">
        <f t="shared" si="38"/>
        <v>7402.6</v>
      </c>
      <c r="AA31" s="19">
        <f t="shared" si="39"/>
        <v>325.3272727</v>
      </c>
      <c r="AB31" s="14">
        <f t="shared" ref="AB31:AB32" si="45">K31*0</f>
        <v>0</v>
      </c>
      <c r="AC31" s="20">
        <f t="shared" si="40"/>
        <v>3253.272727</v>
      </c>
      <c r="AD31" s="25">
        <f t="shared" si="41"/>
        <v>30.1</v>
      </c>
      <c r="AE31" s="19">
        <f t="shared" si="42"/>
        <v>16266.36364</v>
      </c>
      <c r="AF31" s="14">
        <v>9800.0</v>
      </c>
      <c r="AG31" s="14">
        <v>100.0</v>
      </c>
      <c r="AH31" s="14">
        <v>0.0</v>
      </c>
      <c r="AI31" s="20">
        <f t="shared" si="43"/>
        <v>98</v>
      </c>
      <c r="AJ31" s="8"/>
      <c r="AK31" s="8"/>
      <c r="AL31" s="75"/>
      <c r="AM31" s="12" t="s">
        <v>130</v>
      </c>
      <c r="AN31" s="9"/>
      <c r="AO31" s="9"/>
      <c r="AP31" s="9"/>
      <c r="AQ31" s="9"/>
      <c r="AR31" s="9"/>
    </row>
    <row r="32">
      <c r="A32" s="12" t="s">
        <v>131</v>
      </c>
      <c r="B32" s="12" t="s">
        <v>132</v>
      </c>
      <c r="C32" s="12" t="s">
        <v>133</v>
      </c>
      <c r="D32" s="14">
        <v>200.0</v>
      </c>
      <c r="E32" s="14">
        <v>30.0</v>
      </c>
      <c r="F32" s="14">
        <v>1500.0</v>
      </c>
      <c r="G32" s="14">
        <v>0.0</v>
      </c>
      <c r="H32" s="14">
        <f t="shared" si="32"/>
        <v>7500</v>
      </c>
      <c r="I32" s="14">
        <f t="shared" si="33"/>
        <v>57.5</v>
      </c>
      <c r="J32" s="15">
        <f t="shared" si="34"/>
        <v>7557.5</v>
      </c>
      <c r="K32" s="16">
        <f t="shared" si="35"/>
        <v>252</v>
      </c>
      <c r="L32" s="12" t="s">
        <v>59</v>
      </c>
      <c r="M32" s="12"/>
      <c r="N32" s="49"/>
      <c r="O32" s="13"/>
      <c r="P32" s="12"/>
      <c r="Q32" s="12">
        <v>12.0</v>
      </c>
      <c r="R32" s="12">
        <v>2.0</v>
      </c>
      <c r="S32" s="14">
        <v>9900.0</v>
      </c>
      <c r="T32" s="14">
        <v>1000.0</v>
      </c>
      <c r="U32" s="14">
        <f t="shared" si="36"/>
        <v>8900</v>
      </c>
      <c r="V32" s="12">
        <v>10.5</v>
      </c>
      <c r="W32" s="14">
        <f t="shared" si="37"/>
        <v>1028.5</v>
      </c>
      <c r="X32" s="14">
        <v>0.0</v>
      </c>
      <c r="Y32" s="14">
        <v>0.0</v>
      </c>
      <c r="Z32" s="19">
        <f t="shared" si="38"/>
        <v>7871.5</v>
      </c>
      <c r="AA32" s="19">
        <f t="shared" si="39"/>
        <v>440.6818182</v>
      </c>
      <c r="AB32" s="14">
        <f t="shared" si="45"/>
        <v>0</v>
      </c>
      <c r="AC32" s="20">
        <f t="shared" si="40"/>
        <v>4406.818182</v>
      </c>
      <c r="AD32" s="25">
        <f t="shared" si="41"/>
        <v>49.5</v>
      </c>
      <c r="AE32" s="19">
        <f t="shared" si="42"/>
        <v>8813.636364</v>
      </c>
      <c r="AF32" s="14">
        <v>11500.0</v>
      </c>
      <c r="AG32" s="14">
        <v>400.0</v>
      </c>
      <c r="AH32" s="14">
        <v>0.0</v>
      </c>
      <c r="AI32" s="20">
        <f t="shared" si="43"/>
        <v>28.75</v>
      </c>
      <c r="AJ32" s="8"/>
      <c r="AK32" s="8"/>
      <c r="AL32" s="75"/>
      <c r="AM32" s="12"/>
      <c r="AN32" s="9"/>
      <c r="AO32" s="9"/>
      <c r="AP32" s="9"/>
      <c r="AQ32" s="9"/>
      <c r="AR32" s="9"/>
    </row>
    <row r="33">
      <c r="A33" s="12" t="s">
        <v>134</v>
      </c>
      <c r="B33" s="12" t="s">
        <v>135</v>
      </c>
      <c r="C33" s="12" t="s">
        <v>136</v>
      </c>
      <c r="D33" s="14">
        <v>1450.0</v>
      </c>
      <c r="E33" s="14">
        <v>30.0</v>
      </c>
      <c r="F33" s="14">
        <v>1500.0</v>
      </c>
      <c r="G33" s="14">
        <v>0.0</v>
      </c>
      <c r="H33" s="14">
        <f t="shared" si="32"/>
        <v>45000</v>
      </c>
      <c r="I33" s="14">
        <f t="shared" si="33"/>
        <v>882</v>
      </c>
      <c r="J33" s="15">
        <f t="shared" si="34"/>
        <v>45882</v>
      </c>
      <c r="K33" s="16">
        <f t="shared" si="35"/>
        <v>1529</v>
      </c>
      <c r="L33" s="13" t="s">
        <v>64</v>
      </c>
      <c r="M33" s="12"/>
      <c r="N33" s="49"/>
      <c r="O33" s="13"/>
      <c r="P33" s="12"/>
      <c r="Q33" s="12">
        <v>3.0</v>
      </c>
      <c r="R33" s="12">
        <v>9.0</v>
      </c>
      <c r="S33" s="14">
        <v>12900.0</v>
      </c>
      <c r="T33" s="14">
        <v>1000.0</v>
      </c>
      <c r="U33" s="14">
        <f t="shared" si="36"/>
        <v>11900</v>
      </c>
      <c r="V33" s="12">
        <v>10.5</v>
      </c>
      <c r="W33" s="14">
        <f t="shared" si="37"/>
        <v>1375</v>
      </c>
      <c r="X33" s="14">
        <v>0.0</v>
      </c>
      <c r="Y33" s="14">
        <v>0.0</v>
      </c>
      <c r="Z33" s="19">
        <f t="shared" si="38"/>
        <v>10525</v>
      </c>
      <c r="AA33" s="19">
        <f t="shared" si="39"/>
        <v>539.8181818</v>
      </c>
      <c r="AB33" s="14">
        <f>K33*3</f>
        <v>4587</v>
      </c>
      <c r="AC33" s="20">
        <f t="shared" si="40"/>
        <v>5398.181818</v>
      </c>
      <c r="AD33" s="25">
        <f t="shared" si="41"/>
        <v>45.4</v>
      </c>
      <c r="AE33" s="19">
        <f t="shared" si="42"/>
        <v>43996.63636</v>
      </c>
      <c r="AF33" s="14">
        <v>9800.0</v>
      </c>
      <c r="AG33" s="14">
        <v>100.0</v>
      </c>
      <c r="AH33" s="14">
        <v>0.0</v>
      </c>
      <c r="AI33" s="20">
        <f t="shared" si="43"/>
        <v>98</v>
      </c>
      <c r="AJ33" s="8"/>
      <c r="AK33" s="8"/>
      <c r="AL33" s="75"/>
      <c r="AM33" s="12"/>
      <c r="AN33" s="9"/>
      <c r="AO33" s="9"/>
      <c r="AP33" s="9"/>
      <c r="AQ33" s="9"/>
      <c r="AR33" s="9"/>
    </row>
    <row r="34">
      <c r="A34" s="76" t="s">
        <v>137</v>
      </c>
      <c r="C34" s="77"/>
      <c r="D34" s="78"/>
      <c r="E34" s="78"/>
      <c r="F34" s="78"/>
      <c r="G34" s="78"/>
      <c r="H34" s="78"/>
      <c r="I34" s="78"/>
      <c r="J34" s="79">
        <f>SUM(J3:J29)</f>
        <v>960936.5</v>
      </c>
      <c r="K34" s="77"/>
      <c r="L34" s="77"/>
      <c r="M34" s="77"/>
      <c r="N34" s="80">
        <f>SUM(N3:N30)</f>
        <v>51066</v>
      </c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>
        <f>SUM(AA3:AA29)</f>
        <v>10266.02727</v>
      </c>
      <c r="AB34" s="77"/>
      <c r="AC34" s="77"/>
      <c r="AD34" s="77"/>
      <c r="AE34" s="78">
        <f>SUM(AE3:AE29)</f>
        <v>1032090.818</v>
      </c>
      <c r="AF34" s="78"/>
      <c r="AG34" s="78"/>
      <c r="AH34" s="78"/>
      <c r="AI34" s="78"/>
      <c r="AJ34" s="81">
        <f t="shared" ref="AJ34:AK34" si="46">SUM(AJ3:AJ29)</f>
        <v>132</v>
      </c>
      <c r="AK34" s="81">
        <f t="shared" si="46"/>
        <v>87</v>
      </c>
      <c r="AL34" s="78"/>
      <c r="AM34" s="78"/>
      <c r="AN34" s="9"/>
      <c r="AO34" s="9"/>
      <c r="AP34" s="9"/>
      <c r="AQ34" s="9"/>
      <c r="AR34" s="9"/>
    </row>
    <row r="35">
      <c r="A35" s="9"/>
      <c r="B35" s="9"/>
      <c r="C35" s="9"/>
      <c r="D35" s="20"/>
      <c r="E35" s="20"/>
      <c r="F35" s="20"/>
      <c r="G35" s="20"/>
      <c r="H35" s="19"/>
      <c r="I35" s="20"/>
      <c r="J35" s="82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20"/>
      <c r="AG35" s="20"/>
      <c r="AH35" s="20"/>
      <c r="AI35" s="20"/>
      <c r="AJ35" s="9"/>
      <c r="AK35" s="9"/>
      <c r="AL35" s="9"/>
      <c r="AM35" s="9"/>
      <c r="AN35" s="9"/>
      <c r="AO35" s="9"/>
      <c r="AP35" s="9"/>
      <c r="AQ35" s="9"/>
      <c r="AR35" s="9"/>
    </row>
    <row r="36">
      <c r="A36" s="9"/>
      <c r="B36" s="9"/>
      <c r="C36" s="9"/>
      <c r="D36" s="20"/>
      <c r="E36" s="20"/>
      <c r="F36" s="20"/>
      <c r="G36" s="20"/>
      <c r="H36" s="19"/>
      <c r="I36" s="20"/>
      <c r="J36" s="82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20"/>
      <c r="AG36" s="20"/>
      <c r="AH36" s="20"/>
      <c r="AI36" s="20"/>
      <c r="AJ36" s="9"/>
      <c r="AK36" s="9"/>
      <c r="AL36" s="9"/>
      <c r="AM36" s="9"/>
      <c r="AN36" s="9"/>
      <c r="AO36" s="9"/>
      <c r="AP36" s="9"/>
      <c r="AQ36" s="9"/>
      <c r="AR36" s="9"/>
    </row>
    <row r="37">
      <c r="A37" s="9"/>
      <c r="B37" s="9"/>
      <c r="C37" s="9"/>
      <c r="D37" s="20"/>
      <c r="E37" s="20"/>
      <c r="F37" s="20"/>
      <c r="G37" s="20"/>
      <c r="H37" s="19"/>
      <c r="I37" s="20"/>
      <c r="J37" s="82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20"/>
      <c r="AG37" s="20"/>
      <c r="AH37" s="20"/>
      <c r="AI37" s="20"/>
      <c r="AJ37" s="9"/>
      <c r="AK37" s="9"/>
      <c r="AL37" s="9"/>
      <c r="AM37" s="9"/>
      <c r="AN37" s="9"/>
      <c r="AO37" s="9"/>
      <c r="AP37" s="9"/>
      <c r="AQ37" s="9"/>
      <c r="AR37" s="9"/>
    </row>
    <row r="38">
      <c r="A38" s="12"/>
      <c r="B38" s="9"/>
      <c r="C38" s="9"/>
      <c r="D38" s="20"/>
      <c r="E38" s="20"/>
      <c r="F38" s="20"/>
      <c r="G38" s="20"/>
      <c r="H38" s="19"/>
      <c r="I38" s="20"/>
      <c r="J38" s="8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20"/>
      <c r="AG38" s="20"/>
      <c r="AH38" s="20"/>
      <c r="AI38" s="20"/>
      <c r="AJ38" s="9"/>
      <c r="AK38" s="9"/>
      <c r="AL38" s="9"/>
      <c r="AM38" s="9"/>
      <c r="AN38" s="9"/>
      <c r="AO38" s="9"/>
      <c r="AP38" s="9"/>
      <c r="AQ38" s="9"/>
      <c r="AR38" s="9"/>
    </row>
    <row r="39">
      <c r="A39" s="12"/>
      <c r="B39" s="9"/>
      <c r="C39" s="9"/>
      <c r="D39" s="20"/>
      <c r="E39" s="20"/>
      <c r="F39" s="20"/>
      <c r="G39" s="20"/>
      <c r="H39" s="19"/>
      <c r="I39" s="20"/>
      <c r="J39" s="82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20"/>
      <c r="AG39" s="20"/>
      <c r="AH39" s="20"/>
      <c r="AI39" s="20"/>
      <c r="AJ39" s="9"/>
      <c r="AK39" s="9"/>
      <c r="AL39" s="9"/>
      <c r="AM39" s="9"/>
      <c r="AN39" s="9"/>
      <c r="AO39" s="9"/>
      <c r="AP39" s="9"/>
      <c r="AQ39" s="9"/>
      <c r="AR39" s="9"/>
    </row>
    <row r="40">
      <c r="A40" s="9"/>
      <c r="B40" s="9"/>
      <c r="C40" s="9"/>
      <c r="D40" s="20"/>
      <c r="E40" s="20"/>
      <c r="F40" s="20"/>
      <c r="G40" s="20"/>
      <c r="H40" s="19"/>
      <c r="I40" s="20"/>
      <c r="J40" s="82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20"/>
      <c r="AG40" s="20"/>
      <c r="AH40" s="20"/>
      <c r="AI40" s="20"/>
      <c r="AJ40" s="9"/>
      <c r="AK40" s="9"/>
      <c r="AL40" s="9"/>
      <c r="AM40" s="9"/>
      <c r="AN40" s="9"/>
      <c r="AO40" s="9"/>
      <c r="AP40" s="9"/>
      <c r="AQ40" s="9"/>
      <c r="AR40" s="9"/>
    </row>
    <row r="41">
      <c r="A41" s="9"/>
      <c r="B41" s="9"/>
      <c r="C41" s="9"/>
      <c r="D41" s="20"/>
      <c r="E41" s="20"/>
      <c r="F41" s="20"/>
      <c r="G41" s="20"/>
      <c r="H41" s="19"/>
      <c r="I41" s="20"/>
      <c r="J41" s="82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20"/>
      <c r="AG41" s="20"/>
      <c r="AH41" s="20"/>
      <c r="AI41" s="20"/>
      <c r="AJ41" s="9"/>
      <c r="AK41" s="9"/>
      <c r="AL41" s="9"/>
      <c r="AM41" s="9"/>
      <c r="AN41" s="9"/>
      <c r="AO41" s="9"/>
      <c r="AP41" s="9"/>
      <c r="AQ41" s="9"/>
      <c r="AR41" s="9"/>
    </row>
    <row r="42">
      <c r="A42" s="9"/>
      <c r="B42" s="9"/>
      <c r="C42" s="9"/>
      <c r="D42" s="20"/>
      <c r="E42" s="20"/>
      <c r="F42" s="20"/>
      <c r="G42" s="20"/>
      <c r="H42" s="19"/>
      <c r="I42" s="20"/>
      <c r="J42" s="82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20"/>
      <c r="AG42" s="20"/>
      <c r="AH42" s="20"/>
      <c r="AI42" s="20"/>
      <c r="AJ42" s="9"/>
      <c r="AK42" s="9"/>
      <c r="AL42" s="9"/>
      <c r="AM42" s="9"/>
      <c r="AN42" s="9"/>
      <c r="AO42" s="9"/>
      <c r="AP42" s="9"/>
      <c r="AQ42" s="9"/>
      <c r="AR42" s="9"/>
    </row>
    <row r="43">
      <c r="A43" s="9"/>
      <c r="B43" s="9"/>
      <c r="C43" s="9"/>
      <c r="D43" s="20"/>
      <c r="E43" s="20"/>
      <c r="F43" s="20"/>
      <c r="G43" s="20"/>
      <c r="H43" s="19"/>
      <c r="I43" s="20"/>
      <c r="J43" s="82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20"/>
      <c r="AG43" s="20"/>
      <c r="AH43" s="20"/>
      <c r="AI43" s="20"/>
      <c r="AJ43" s="9"/>
      <c r="AK43" s="9"/>
      <c r="AL43" s="9"/>
      <c r="AM43" s="9"/>
      <c r="AN43" s="9"/>
      <c r="AO43" s="9"/>
      <c r="AP43" s="9"/>
      <c r="AQ43" s="9"/>
      <c r="AR43" s="9"/>
    </row>
    <row r="44">
      <c r="A44" s="12"/>
      <c r="B44" s="9"/>
      <c r="C44" s="9"/>
      <c r="D44" s="20"/>
      <c r="E44" s="20"/>
      <c r="F44" s="20"/>
      <c r="G44" s="20"/>
      <c r="H44" s="19"/>
      <c r="I44" s="20"/>
      <c r="J44" s="82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20"/>
      <c r="AG44" s="20"/>
      <c r="AH44" s="20"/>
      <c r="AI44" s="20"/>
      <c r="AJ44" s="9"/>
      <c r="AK44" s="9"/>
      <c r="AL44" s="9"/>
      <c r="AM44" s="9"/>
      <c r="AN44" s="9"/>
      <c r="AO44" s="9"/>
      <c r="AP44" s="9"/>
      <c r="AQ44" s="9"/>
      <c r="AR44" s="9"/>
    </row>
    <row r="45">
      <c r="A45" s="12"/>
      <c r="B45" s="9"/>
      <c r="C45" s="9"/>
      <c r="D45" s="20"/>
      <c r="E45" s="20"/>
      <c r="F45" s="20"/>
      <c r="G45" s="20"/>
      <c r="H45" s="19"/>
      <c r="I45" s="20"/>
      <c r="J45" s="82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20"/>
      <c r="AG45" s="20"/>
      <c r="AH45" s="20"/>
      <c r="AI45" s="20"/>
      <c r="AJ45" s="9"/>
      <c r="AK45" s="9"/>
      <c r="AL45" s="9"/>
      <c r="AM45" s="9"/>
      <c r="AN45" s="9"/>
      <c r="AO45" s="9"/>
      <c r="AP45" s="9"/>
      <c r="AQ45" s="9"/>
      <c r="AR45" s="9"/>
    </row>
    <row r="46">
      <c r="A46" s="12"/>
      <c r="B46" s="9"/>
      <c r="C46" s="9"/>
      <c r="D46" s="20"/>
      <c r="E46" s="20"/>
      <c r="F46" s="20"/>
      <c r="G46" s="20"/>
      <c r="H46" s="19"/>
      <c r="I46" s="20"/>
      <c r="J46" s="82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20"/>
      <c r="AG46" s="20"/>
      <c r="AH46" s="20"/>
      <c r="AI46" s="20"/>
      <c r="AJ46" s="9"/>
      <c r="AK46" s="9"/>
      <c r="AL46" s="9"/>
      <c r="AM46" s="9"/>
      <c r="AN46" s="9"/>
      <c r="AO46" s="9"/>
      <c r="AP46" s="9"/>
      <c r="AQ46" s="9"/>
      <c r="AR46" s="9"/>
    </row>
    <row r="47">
      <c r="A47" s="12"/>
      <c r="B47" s="9"/>
      <c r="C47" s="9"/>
      <c r="D47" s="20"/>
      <c r="E47" s="20"/>
      <c r="F47" s="20"/>
      <c r="G47" s="20"/>
      <c r="H47" s="19"/>
      <c r="I47" s="20"/>
      <c r="J47" s="82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20"/>
      <c r="AG47" s="20"/>
      <c r="AH47" s="20"/>
      <c r="AI47" s="20"/>
      <c r="AJ47" s="9"/>
      <c r="AK47" s="9"/>
      <c r="AL47" s="9"/>
      <c r="AM47" s="9"/>
      <c r="AN47" s="9"/>
      <c r="AO47" s="9"/>
      <c r="AP47" s="9"/>
      <c r="AQ47" s="9"/>
      <c r="AR47" s="9"/>
    </row>
    <row r="48">
      <c r="A48" s="9"/>
      <c r="B48" s="9"/>
      <c r="C48" s="9"/>
      <c r="D48" s="20"/>
      <c r="E48" s="20"/>
      <c r="F48" s="20"/>
      <c r="G48" s="20"/>
      <c r="H48" s="19"/>
      <c r="I48" s="20"/>
      <c r="J48" s="82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20"/>
      <c r="AG48" s="20"/>
      <c r="AH48" s="20"/>
      <c r="AI48" s="20"/>
      <c r="AJ48" s="9"/>
      <c r="AK48" s="9"/>
      <c r="AL48" s="9"/>
      <c r="AM48" s="9"/>
      <c r="AN48" s="9"/>
      <c r="AO48" s="9"/>
      <c r="AP48" s="9"/>
      <c r="AQ48" s="9"/>
      <c r="AR48" s="9"/>
    </row>
    <row r="49">
      <c r="A49" s="9"/>
      <c r="B49" s="9"/>
      <c r="C49" s="9"/>
      <c r="D49" s="9"/>
      <c r="E49" s="9"/>
      <c r="F49" s="9"/>
      <c r="G49" s="9"/>
      <c r="H49" s="74"/>
      <c r="I49" s="9"/>
      <c r="J49" s="82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20"/>
      <c r="AG49" s="20"/>
      <c r="AH49" s="20"/>
      <c r="AI49" s="20"/>
      <c r="AJ49" s="9"/>
      <c r="AK49" s="9"/>
      <c r="AL49" s="9"/>
      <c r="AM49" s="9"/>
      <c r="AN49" s="9"/>
      <c r="AO49" s="9"/>
      <c r="AP49" s="9"/>
      <c r="AQ49" s="9"/>
      <c r="AR49" s="9"/>
    </row>
    <row r="50">
      <c r="A50" s="9"/>
      <c r="B50" s="9"/>
      <c r="C50" s="9"/>
      <c r="D50" s="9"/>
      <c r="E50" s="9"/>
      <c r="F50" s="9"/>
      <c r="G50" s="9"/>
      <c r="H50" s="7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20"/>
      <c r="AG50" s="20"/>
      <c r="AH50" s="20"/>
      <c r="AI50" s="20"/>
      <c r="AJ50" s="9"/>
      <c r="AK50" s="9"/>
      <c r="AL50" s="9"/>
      <c r="AM50" s="9"/>
      <c r="AN50" s="9"/>
      <c r="AO50" s="9"/>
      <c r="AP50" s="9"/>
      <c r="AQ50" s="9"/>
      <c r="AR50" s="9"/>
    </row>
    <row r="51">
      <c r="A51" s="9"/>
      <c r="B51" s="9"/>
      <c r="C51" s="9"/>
      <c r="D51" s="9"/>
      <c r="E51" s="9"/>
      <c r="F51" s="9"/>
      <c r="G51" s="9"/>
      <c r="H51" s="7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>
      <c r="A52" s="9"/>
      <c r="B52" s="9"/>
      <c r="C52" s="9"/>
      <c r="D52" s="9"/>
      <c r="E52" s="9"/>
      <c r="F52" s="9"/>
      <c r="G52" s="9"/>
      <c r="H52" s="74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>
      <c r="A53" s="9"/>
      <c r="B53" s="9"/>
      <c r="C53" s="9"/>
      <c r="D53" s="9"/>
      <c r="E53" s="9"/>
      <c r="F53" s="9"/>
      <c r="G53" s="9"/>
      <c r="H53" s="74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>
      <c r="A54" s="9"/>
      <c r="B54" s="9"/>
      <c r="C54" s="9"/>
      <c r="D54" s="9"/>
      <c r="E54" s="9"/>
      <c r="F54" s="9"/>
      <c r="G54" s="9"/>
      <c r="H54" s="74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>
      <c r="A55" s="9"/>
      <c r="B55" s="9"/>
      <c r="C55" s="9"/>
      <c r="D55" s="9"/>
      <c r="E55" s="9"/>
      <c r="F55" s="9"/>
      <c r="G55" s="9"/>
      <c r="H55" s="74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>
      <c r="A56" s="9"/>
      <c r="B56" s="9"/>
      <c r="C56" s="9"/>
      <c r="D56" s="9"/>
      <c r="E56" s="9"/>
      <c r="F56" s="9"/>
      <c r="G56" s="9"/>
      <c r="H56" s="74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>
      <c r="A57" s="9"/>
      <c r="B57" s="9"/>
      <c r="C57" s="9"/>
      <c r="D57" s="9"/>
      <c r="E57" s="9"/>
      <c r="F57" s="9"/>
      <c r="G57" s="9"/>
      <c r="H57" s="74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>
      <c r="A58" s="9"/>
      <c r="B58" s="9"/>
      <c r="C58" s="9"/>
      <c r="D58" s="9"/>
      <c r="E58" s="9"/>
      <c r="F58" s="9"/>
      <c r="G58" s="9"/>
      <c r="H58" s="74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>
      <c r="A59" s="9"/>
      <c r="B59" s="9"/>
      <c r="C59" s="9"/>
      <c r="D59" s="9"/>
      <c r="E59" s="9"/>
      <c r="F59" s="9"/>
      <c r="G59" s="9"/>
      <c r="H59" s="74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>
      <c r="A60" s="9"/>
      <c r="B60" s="9"/>
      <c r="C60" s="9"/>
      <c r="D60" s="9"/>
      <c r="E60" s="9"/>
      <c r="F60" s="9"/>
      <c r="G60" s="9"/>
      <c r="H60" s="74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>
      <c r="A61" s="9"/>
      <c r="B61" s="9"/>
      <c r="C61" s="9"/>
      <c r="D61" s="9"/>
      <c r="E61" s="9"/>
      <c r="F61" s="9"/>
      <c r="G61" s="9"/>
      <c r="H61" s="74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>
      <c r="A62" s="9"/>
      <c r="B62" s="9"/>
      <c r="C62" s="9"/>
      <c r="D62" s="9"/>
      <c r="E62" s="9"/>
      <c r="F62" s="9"/>
      <c r="G62" s="9"/>
      <c r="H62" s="74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>
      <c r="A63" s="9"/>
      <c r="B63" s="9"/>
      <c r="C63" s="9"/>
      <c r="D63" s="9"/>
      <c r="E63" s="9"/>
      <c r="F63" s="9"/>
      <c r="G63" s="9"/>
      <c r="H63" s="74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>
      <c r="A64" s="9"/>
      <c r="B64" s="9"/>
      <c r="C64" s="9"/>
      <c r="D64" s="9"/>
      <c r="E64" s="9"/>
      <c r="F64" s="9"/>
      <c r="G64" s="9"/>
      <c r="H64" s="7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>
      <c r="A65" s="9"/>
      <c r="B65" s="9"/>
      <c r="C65" s="9"/>
      <c r="D65" s="9"/>
      <c r="E65" s="9"/>
      <c r="F65" s="9"/>
      <c r="G65" s="9"/>
      <c r="H65" s="7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>
      <c r="A66" s="9"/>
      <c r="B66" s="9"/>
      <c r="C66" s="9"/>
      <c r="D66" s="9"/>
      <c r="E66" s="9"/>
      <c r="F66" s="9"/>
      <c r="G66" s="9"/>
      <c r="H66" s="7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>
      <c r="A67" s="9"/>
      <c r="B67" s="9"/>
      <c r="C67" s="9"/>
      <c r="D67" s="9"/>
      <c r="E67" s="9"/>
      <c r="F67" s="9"/>
      <c r="G67" s="9"/>
      <c r="H67" s="7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>
      <c r="A68" s="9"/>
      <c r="B68" s="9"/>
      <c r="C68" s="9"/>
      <c r="D68" s="9"/>
      <c r="E68" s="9"/>
      <c r="F68" s="9"/>
      <c r="G68" s="9"/>
      <c r="H68" s="7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>
      <c r="A69" s="9"/>
      <c r="B69" s="9"/>
      <c r="C69" s="9"/>
      <c r="D69" s="9"/>
      <c r="E69" s="9"/>
      <c r="F69" s="9"/>
      <c r="G69" s="9"/>
      <c r="H69" s="7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>
      <c r="A70" s="9"/>
      <c r="B70" s="9"/>
      <c r="C70" s="9"/>
      <c r="D70" s="9"/>
      <c r="E70" s="9"/>
      <c r="F70" s="9"/>
      <c r="G70" s="9"/>
      <c r="H70" s="7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>
      <c r="A71" s="9"/>
      <c r="B71" s="9"/>
      <c r="C71" s="9"/>
      <c r="D71" s="9"/>
      <c r="E71" s="9"/>
      <c r="F71" s="9"/>
      <c r="G71" s="9"/>
      <c r="H71" s="7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>
      <c r="A72" s="9"/>
      <c r="B72" s="9"/>
      <c r="C72" s="9"/>
      <c r="D72" s="9"/>
      <c r="E72" s="9"/>
      <c r="F72" s="9"/>
      <c r="G72" s="9"/>
      <c r="H72" s="7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>
      <c r="A73" s="9"/>
      <c r="B73" s="9"/>
      <c r="C73" s="9"/>
      <c r="D73" s="9"/>
      <c r="E73" s="9"/>
      <c r="F73" s="9"/>
      <c r="G73" s="9"/>
      <c r="H73" s="7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>
      <c r="A74" s="9"/>
      <c r="B74" s="9"/>
      <c r="C74" s="9"/>
      <c r="D74" s="9"/>
      <c r="E74" s="9"/>
      <c r="F74" s="9"/>
      <c r="G74" s="9"/>
      <c r="H74" s="7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>
      <c r="A75" s="9"/>
      <c r="B75" s="9"/>
      <c r="C75" s="9"/>
      <c r="D75" s="9"/>
      <c r="E75" s="9"/>
      <c r="F75" s="9"/>
      <c r="G75" s="9"/>
      <c r="H75" s="7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>
      <c r="A76" s="9"/>
      <c r="B76" s="9"/>
      <c r="C76" s="9"/>
      <c r="D76" s="9"/>
      <c r="E76" s="9"/>
      <c r="F76" s="9"/>
      <c r="G76" s="9"/>
      <c r="H76" s="7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>
      <c r="A77" s="9"/>
      <c r="B77" s="9"/>
      <c r="C77" s="9"/>
      <c r="D77" s="9"/>
      <c r="E77" s="9"/>
      <c r="F77" s="9"/>
      <c r="G77" s="9"/>
      <c r="H77" s="7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>
      <c r="A78" s="9"/>
      <c r="B78" s="9"/>
      <c r="C78" s="9"/>
      <c r="D78" s="9"/>
      <c r="E78" s="9"/>
      <c r="F78" s="9"/>
      <c r="G78" s="9"/>
      <c r="H78" s="7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>
      <c r="A79" s="9"/>
      <c r="B79" s="9"/>
      <c r="C79" s="9"/>
      <c r="D79" s="9"/>
      <c r="E79" s="9"/>
      <c r="F79" s="9"/>
      <c r="G79" s="9"/>
      <c r="H79" s="7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>
      <c r="A80" s="9"/>
      <c r="B80" s="9"/>
      <c r="C80" s="9"/>
      <c r="D80" s="9"/>
      <c r="E80" s="9"/>
      <c r="F80" s="9"/>
      <c r="G80" s="9"/>
      <c r="H80" s="7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>
      <c r="A81" s="9"/>
      <c r="B81" s="9"/>
      <c r="C81" s="9"/>
      <c r="D81" s="9"/>
      <c r="E81" s="9"/>
      <c r="F81" s="9"/>
      <c r="G81" s="9"/>
      <c r="H81" s="7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>
      <c r="A82" s="9"/>
      <c r="B82" s="9"/>
      <c r="C82" s="9"/>
      <c r="D82" s="9"/>
      <c r="E82" s="9"/>
      <c r="F82" s="9"/>
      <c r="G82" s="9"/>
      <c r="H82" s="7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>
      <c r="A83" s="9"/>
      <c r="B83" s="9"/>
      <c r="C83" s="9"/>
      <c r="D83" s="9"/>
      <c r="E83" s="9"/>
      <c r="F83" s="9"/>
      <c r="G83" s="9"/>
      <c r="H83" s="7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>
      <c r="A84" s="9"/>
      <c r="B84" s="9"/>
      <c r="C84" s="9"/>
      <c r="D84" s="9"/>
      <c r="E84" s="9"/>
      <c r="F84" s="9"/>
      <c r="G84" s="9"/>
      <c r="H84" s="7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>
      <c r="A85" s="9"/>
      <c r="B85" s="9"/>
      <c r="C85" s="9"/>
      <c r="D85" s="9"/>
      <c r="E85" s="9"/>
      <c r="F85" s="9"/>
      <c r="G85" s="9"/>
      <c r="H85" s="7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>
      <c r="A86" s="9"/>
      <c r="B86" s="9"/>
      <c r="C86" s="9"/>
      <c r="D86" s="9"/>
      <c r="E86" s="9"/>
      <c r="F86" s="9"/>
      <c r="G86" s="9"/>
      <c r="H86" s="7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>
      <c r="A87" s="9"/>
      <c r="B87" s="9"/>
      <c r="C87" s="9"/>
      <c r="D87" s="9"/>
      <c r="E87" s="9"/>
      <c r="F87" s="9"/>
      <c r="G87" s="9"/>
      <c r="H87" s="7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>
      <c r="A88" s="9"/>
      <c r="B88" s="9"/>
      <c r="C88" s="9"/>
      <c r="D88" s="9"/>
      <c r="E88" s="9"/>
      <c r="F88" s="9"/>
      <c r="G88" s="9"/>
      <c r="H88" s="7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>
      <c r="A89" s="9"/>
      <c r="B89" s="9"/>
      <c r="C89" s="9"/>
      <c r="D89" s="9"/>
      <c r="E89" s="9"/>
      <c r="F89" s="9"/>
      <c r="G89" s="9"/>
      <c r="H89" s="7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>
      <c r="A90" s="9"/>
      <c r="B90" s="9"/>
      <c r="C90" s="9"/>
      <c r="D90" s="9"/>
      <c r="E90" s="9"/>
      <c r="F90" s="9"/>
      <c r="G90" s="9"/>
      <c r="H90" s="7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>
      <c r="A91" s="9"/>
      <c r="B91" s="9"/>
      <c r="C91" s="9"/>
      <c r="D91" s="9"/>
      <c r="E91" s="9"/>
      <c r="F91" s="9"/>
      <c r="G91" s="9"/>
      <c r="H91" s="7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>
      <c r="A92" s="9"/>
      <c r="B92" s="9"/>
      <c r="C92" s="9"/>
      <c r="D92" s="9"/>
      <c r="E92" s="9"/>
      <c r="F92" s="9"/>
      <c r="G92" s="9"/>
      <c r="H92" s="7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>
      <c r="A93" s="9"/>
      <c r="B93" s="9"/>
      <c r="C93" s="9"/>
      <c r="D93" s="9"/>
      <c r="E93" s="9"/>
      <c r="F93" s="9"/>
      <c r="G93" s="9"/>
      <c r="H93" s="7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>
      <c r="A94" s="9"/>
      <c r="B94" s="9"/>
      <c r="C94" s="9"/>
      <c r="D94" s="9"/>
      <c r="E94" s="9"/>
      <c r="F94" s="9"/>
      <c r="G94" s="9"/>
      <c r="H94" s="7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>
      <c r="A95" s="9"/>
      <c r="B95" s="9"/>
      <c r="C95" s="9"/>
      <c r="D95" s="9"/>
      <c r="E95" s="9"/>
      <c r="F95" s="9"/>
      <c r="G95" s="9"/>
      <c r="H95" s="7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>
      <c r="A96" s="9"/>
      <c r="B96" s="9"/>
      <c r="C96" s="9"/>
      <c r="D96" s="9"/>
      <c r="E96" s="9"/>
      <c r="F96" s="9"/>
      <c r="G96" s="9"/>
      <c r="H96" s="7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>
      <c r="A97" s="9"/>
      <c r="B97" s="9"/>
      <c r="C97" s="9"/>
      <c r="D97" s="9"/>
      <c r="E97" s="9"/>
      <c r="F97" s="9"/>
      <c r="G97" s="9"/>
      <c r="H97" s="7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>
      <c r="A98" s="9"/>
      <c r="B98" s="9"/>
      <c r="C98" s="9"/>
      <c r="D98" s="9"/>
      <c r="E98" s="9"/>
      <c r="F98" s="9"/>
      <c r="G98" s="9"/>
      <c r="H98" s="7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>
      <c r="A99" s="9"/>
      <c r="B99" s="9"/>
      <c r="C99" s="9"/>
      <c r="D99" s="9"/>
      <c r="E99" s="9"/>
      <c r="F99" s="9"/>
      <c r="G99" s="9"/>
      <c r="H99" s="7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>
      <c r="A100" s="9"/>
      <c r="B100" s="9"/>
      <c r="C100" s="9"/>
      <c r="D100" s="9"/>
      <c r="E100" s="9"/>
      <c r="F100" s="9"/>
      <c r="G100" s="9"/>
      <c r="H100" s="7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>
      <c r="A101" s="9"/>
      <c r="B101" s="9"/>
      <c r="C101" s="9"/>
      <c r="D101" s="9"/>
      <c r="E101" s="9"/>
      <c r="F101" s="9"/>
      <c r="G101" s="9"/>
      <c r="H101" s="7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>
      <c r="A102" s="9"/>
      <c r="B102" s="9"/>
      <c r="C102" s="9"/>
      <c r="D102" s="9"/>
      <c r="E102" s="9"/>
      <c r="F102" s="9"/>
      <c r="G102" s="9"/>
      <c r="H102" s="74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</row>
    <row r="103">
      <c r="A103" s="9"/>
      <c r="B103" s="9"/>
      <c r="C103" s="9"/>
      <c r="D103" s="9"/>
      <c r="E103" s="9"/>
      <c r="F103" s="9"/>
      <c r="G103" s="9"/>
      <c r="H103" s="74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>
      <c r="A104" s="9"/>
      <c r="B104" s="9"/>
      <c r="C104" s="9"/>
      <c r="D104" s="9"/>
      <c r="E104" s="9"/>
      <c r="F104" s="9"/>
      <c r="G104" s="9"/>
      <c r="H104" s="74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>
      <c r="A105" s="9"/>
      <c r="B105" s="9"/>
      <c r="C105" s="9"/>
      <c r="D105" s="9"/>
      <c r="E105" s="9"/>
      <c r="F105" s="9"/>
      <c r="G105" s="9"/>
      <c r="H105" s="74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>
      <c r="A106" s="9"/>
      <c r="B106" s="9"/>
      <c r="C106" s="9"/>
      <c r="D106" s="9"/>
      <c r="E106" s="9"/>
      <c r="F106" s="9"/>
      <c r="G106" s="9"/>
      <c r="H106" s="74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</row>
    <row r="107">
      <c r="A107" s="9"/>
      <c r="B107" s="9"/>
      <c r="C107" s="9"/>
      <c r="D107" s="9"/>
      <c r="E107" s="9"/>
      <c r="F107" s="9"/>
      <c r="G107" s="9"/>
      <c r="H107" s="74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>
      <c r="A108" s="9"/>
      <c r="B108" s="9"/>
      <c r="C108" s="9"/>
      <c r="D108" s="9"/>
      <c r="E108" s="9"/>
      <c r="F108" s="9"/>
      <c r="G108" s="9"/>
      <c r="H108" s="74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>
      <c r="A109" s="9"/>
      <c r="B109" s="9"/>
      <c r="C109" s="9"/>
      <c r="D109" s="9"/>
      <c r="E109" s="9"/>
      <c r="F109" s="9"/>
      <c r="G109" s="9"/>
      <c r="H109" s="74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</row>
    <row r="110">
      <c r="A110" s="9"/>
      <c r="B110" s="9"/>
      <c r="C110" s="9"/>
      <c r="D110" s="9"/>
      <c r="E110" s="9"/>
      <c r="F110" s="9"/>
      <c r="G110" s="9"/>
      <c r="H110" s="74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</row>
    <row r="111">
      <c r="A111" s="9"/>
      <c r="B111" s="9"/>
      <c r="C111" s="9"/>
      <c r="D111" s="9"/>
      <c r="E111" s="9"/>
      <c r="F111" s="9"/>
      <c r="G111" s="9"/>
      <c r="H111" s="74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>
      <c r="A112" s="9"/>
      <c r="B112" s="9"/>
      <c r="C112" s="9"/>
      <c r="D112" s="9"/>
      <c r="E112" s="9"/>
      <c r="F112" s="9"/>
      <c r="G112" s="9"/>
      <c r="H112" s="74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</row>
    <row r="113">
      <c r="A113" s="9"/>
      <c r="B113" s="9"/>
      <c r="C113" s="9"/>
      <c r="D113" s="9"/>
      <c r="E113" s="9"/>
      <c r="F113" s="9"/>
      <c r="G113" s="9"/>
      <c r="H113" s="74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</row>
    <row r="114">
      <c r="A114" s="9"/>
      <c r="B114" s="9"/>
      <c r="C114" s="9"/>
      <c r="D114" s="9"/>
      <c r="E114" s="9"/>
      <c r="F114" s="9"/>
      <c r="G114" s="9"/>
      <c r="H114" s="74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</row>
    <row r="115">
      <c r="A115" s="9"/>
      <c r="B115" s="9"/>
      <c r="C115" s="9"/>
      <c r="D115" s="9"/>
      <c r="E115" s="9"/>
      <c r="F115" s="9"/>
      <c r="G115" s="9"/>
      <c r="H115" s="74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</row>
    <row r="116">
      <c r="A116" s="9"/>
      <c r="B116" s="9"/>
      <c r="C116" s="9"/>
      <c r="D116" s="9"/>
      <c r="E116" s="9"/>
      <c r="F116" s="9"/>
      <c r="G116" s="9"/>
      <c r="H116" s="74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</row>
    <row r="117">
      <c r="A117" s="9"/>
      <c r="B117" s="9"/>
      <c r="C117" s="9"/>
      <c r="D117" s="9"/>
      <c r="E117" s="9"/>
      <c r="F117" s="9"/>
      <c r="G117" s="9"/>
      <c r="H117" s="74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</row>
    <row r="118">
      <c r="A118" s="9"/>
      <c r="B118" s="9"/>
      <c r="C118" s="9"/>
      <c r="D118" s="9"/>
      <c r="E118" s="9"/>
      <c r="F118" s="9"/>
      <c r="G118" s="9"/>
      <c r="H118" s="74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</row>
    <row r="119">
      <c r="A119" s="9"/>
      <c r="B119" s="9"/>
      <c r="C119" s="9"/>
      <c r="D119" s="9"/>
      <c r="E119" s="9"/>
      <c r="F119" s="9"/>
      <c r="G119" s="9"/>
      <c r="H119" s="74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</row>
    <row r="120">
      <c r="A120" s="9"/>
      <c r="B120" s="9"/>
      <c r="C120" s="9"/>
      <c r="D120" s="9"/>
      <c r="E120" s="9"/>
      <c r="F120" s="9"/>
      <c r="G120" s="9"/>
      <c r="H120" s="74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</row>
    <row r="121">
      <c r="A121" s="9"/>
      <c r="B121" s="9"/>
      <c r="C121" s="9"/>
      <c r="D121" s="9"/>
      <c r="E121" s="9"/>
      <c r="F121" s="9"/>
      <c r="G121" s="9"/>
      <c r="H121" s="74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</row>
    <row r="122">
      <c r="A122" s="9"/>
      <c r="B122" s="9"/>
      <c r="C122" s="9"/>
      <c r="D122" s="9"/>
      <c r="E122" s="9"/>
      <c r="F122" s="9"/>
      <c r="G122" s="9"/>
      <c r="H122" s="74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</row>
    <row r="123">
      <c r="A123" s="9"/>
      <c r="B123" s="9"/>
      <c r="C123" s="9"/>
      <c r="D123" s="9"/>
      <c r="E123" s="9"/>
      <c r="F123" s="9"/>
      <c r="G123" s="9"/>
      <c r="H123" s="74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</row>
    <row r="124">
      <c r="A124" s="9"/>
      <c r="B124" s="9"/>
      <c r="C124" s="9"/>
      <c r="D124" s="9"/>
      <c r="E124" s="9"/>
      <c r="F124" s="9"/>
      <c r="G124" s="9"/>
      <c r="H124" s="74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</row>
    <row r="125">
      <c r="A125" s="9"/>
      <c r="B125" s="9"/>
      <c r="C125" s="9"/>
      <c r="D125" s="9"/>
      <c r="E125" s="9"/>
      <c r="F125" s="9"/>
      <c r="G125" s="9"/>
      <c r="H125" s="74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</row>
    <row r="126">
      <c r="A126" s="9"/>
      <c r="B126" s="9"/>
      <c r="C126" s="9"/>
      <c r="D126" s="9"/>
      <c r="E126" s="9"/>
      <c r="F126" s="9"/>
      <c r="G126" s="9"/>
      <c r="H126" s="74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</row>
    <row r="127">
      <c r="A127" s="9"/>
      <c r="B127" s="9"/>
      <c r="C127" s="9"/>
      <c r="D127" s="9"/>
      <c r="E127" s="9"/>
      <c r="F127" s="9"/>
      <c r="G127" s="9"/>
      <c r="H127" s="74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</row>
    <row r="128">
      <c r="A128" s="9"/>
      <c r="B128" s="9"/>
      <c r="C128" s="9"/>
      <c r="D128" s="9"/>
      <c r="E128" s="9"/>
      <c r="F128" s="9"/>
      <c r="G128" s="9"/>
      <c r="H128" s="74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</row>
    <row r="129">
      <c r="A129" s="9"/>
      <c r="B129" s="9"/>
      <c r="C129" s="9"/>
      <c r="D129" s="9"/>
      <c r="E129" s="9"/>
      <c r="F129" s="9"/>
      <c r="G129" s="9"/>
      <c r="H129" s="74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</row>
    <row r="130">
      <c r="A130" s="9"/>
      <c r="B130" s="9"/>
      <c r="C130" s="9"/>
      <c r="D130" s="9"/>
      <c r="E130" s="9"/>
      <c r="F130" s="9"/>
      <c r="G130" s="9"/>
      <c r="H130" s="74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</row>
    <row r="131">
      <c r="A131" s="9"/>
      <c r="B131" s="9"/>
      <c r="C131" s="9"/>
      <c r="D131" s="9"/>
      <c r="E131" s="9"/>
      <c r="F131" s="9"/>
      <c r="G131" s="9"/>
      <c r="H131" s="74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</row>
    <row r="132">
      <c r="A132" s="9"/>
      <c r="B132" s="9"/>
      <c r="C132" s="9"/>
      <c r="D132" s="9"/>
      <c r="E132" s="9"/>
      <c r="F132" s="9"/>
      <c r="G132" s="9"/>
      <c r="H132" s="74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</row>
    <row r="133">
      <c r="A133" s="9"/>
      <c r="B133" s="9"/>
      <c r="C133" s="9"/>
      <c r="D133" s="9"/>
      <c r="E133" s="9"/>
      <c r="F133" s="9"/>
      <c r="G133" s="9"/>
      <c r="H133" s="74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</row>
    <row r="134">
      <c r="A134" s="9"/>
      <c r="B134" s="9"/>
      <c r="C134" s="9"/>
      <c r="D134" s="9"/>
      <c r="E134" s="9"/>
      <c r="F134" s="9"/>
      <c r="G134" s="9"/>
      <c r="H134" s="74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</row>
    <row r="135">
      <c r="A135" s="9"/>
      <c r="B135" s="9"/>
      <c r="C135" s="9"/>
      <c r="D135" s="9"/>
      <c r="E135" s="9"/>
      <c r="F135" s="9"/>
      <c r="G135" s="9"/>
      <c r="H135" s="74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</row>
    <row r="136">
      <c r="A136" s="9"/>
      <c r="B136" s="9"/>
      <c r="C136" s="9"/>
      <c r="D136" s="9"/>
      <c r="E136" s="9"/>
      <c r="F136" s="9"/>
      <c r="G136" s="9"/>
      <c r="H136" s="74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</row>
    <row r="137">
      <c r="A137" s="9"/>
      <c r="B137" s="9"/>
      <c r="C137" s="9"/>
      <c r="D137" s="9"/>
      <c r="E137" s="9"/>
      <c r="F137" s="9"/>
      <c r="G137" s="9"/>
      <c r="H137" s="74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</row>
    <row r="138">
      <c r="A138" s="9"/>
      <c r="B138" s="9"/>
      <c r="C138" s="9"/>
      <c r="D138" s="9"/>
      <c r="E138" s="9"/>
      <c r="F138" s="9"/>
      <c r="G138" s="9"/>
      <c r="H138" s="74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</row>
    <row r="139">
      <c r="A139" s="9"/>
      <c r="B139" s="9"/>
      <c r="C139" s="9"/>
      <c r="D139" s="9"/>
      <c r="E139" s="9"/>
      <c r="F139" s="9"/>
      <c r="G139" s="9"/>
      <c r="H139" s="74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</row>
    <row r="140">
      <c r="A140" s="9"/>
      <c r="B140" s="9"/>
      <c r="C140" s="9"/>
      <c r="D140" s="9"/>
      <c r="E140" s="9"/>
      <c r="F140" s="9"/>
      <c r="G140" s="9"/>
      <c r="H140" s="74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</row>
    <row r="141">
      <c r="A141" s="9"/>
      <c r="B141" s="9"/>
      <c r="C141" s="9"/>
      <c r="D141" s="9"/>
      <c r="E141" s="9"/>
      <c r="F141" s="9"/>
      <c r="G141" s="9"/>
      <c r="H141" s="74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</row>
    <row r="142">
      <c r="A142" s="9"/>
      <c r="B142" s="9"/>
      <c r="C142" s="9"/>
      <c r="D142" s="9"/>
      <c r="E142" s="9"/>
      <c r="F142" s="9"/>
      <c r="G142" s="9"/>
      <c r="H142" s="74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</row>
    <row r="143">
      <c r="A143" s="9"/>
      <c r="B143" s="9"/>
      <c r="C143" s="9"/>
      <c r="D143" s="9"/>
      <c r="E143" s="9"/>
      <c r="F143" s="9"/>
      <c r="G143" s="9"/>
      <c r="H143" s="74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</row>
    <row r="144">
      <c r="A144" s="9"/>
      <c r="B144" s="9"/>
      <c r="C144" s="9"/>
      <c r="D144" s="9"/>
      <c r="E144" s="9"/>
      <c r="F144" s="9"/>
      <c r="G144" s="9"/>
      <c r="H144" s="74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</row>
    <row r="145">
      <c r="A145" s="9"/>
      <c r="B145" s="9"/>
      <c r="C145" s="9"/>
      <c r="D145" s="9"/>
      <c r="E145" s="9"/>
      <c r="F145" s="9"/>
      <c r="G145" s="9"/>
      <c r="H145" s="74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</row>
    <row r="146">
      <c r="A146" s="9"/>
      <c r="B146" s="9"/>
      <c r="C146" s="9"/>
      <c r="D146" s="9"/>
      <c r="E146" s="9"/>
      <c r="F146" s="9"/>
      <c r="G146" s="9"/>
      <c r="H146" s="74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>
      <c r="A147" s="9"/>
      <c r="B147" s="9"/>
      <c r="C147" s="9"/>
      <c r="D147" s="9"/>
      <c r="E147" s="9"/>
      <c r="F147" s="9"/>
      <c r="G147" s="9"/>
      <c r="H147" s="74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</row>
    <row r="148">
      <c r="A148" s="9"/>
      <c r="B148" s="9"/>
      <c r="C148" s="9"/>
      <c r="D148" s="9"/>
      <c r="E148" s="9"/>
      <c r="F148" s="9"/>
      <c r="G148" s="9"/>
      <c r="H148" s="74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</row>
    <row r="149">
      <c r="A149" s="9"/>
      <c r="B149" s="9"/>
      <c r="C149" s="9"/>
      <c r="D149" s="9"/>
      <c r="E149" s="9"/>
      <c r="F149" s="9"/>
      <c r="G149" s="9"/>
      <c r="H149" s="74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</row>
    <row r="150">
      <c r="A150" s="9"/>
      <c r="B150" s="9"/>
      <c r="C150" s="9"/>
      <c r="D150" s="9"/>
      <c r="E150" s="9"/>
      <c r="F150" s="9"/>
      <c r="G150" s="9"/>
      <c r="H150" s="74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</row>
    <row r="151">
      <c r="A151" s="9"/>
      <c r="B151" s="9"/>
      <c r="C151" s="9"/>
      <c r="D151" s="9"/>
      <c r="E151" s="9"/>
      <c r="F151" s="9"/>
      <c r="G151" s="9"/>
      <c r="H151" s="74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</row>
    <row r="152">
      <c r="A152" s="9"/>
      <c r="B152" s="9"/>
      <c r="C152" s="9"/>
      <c r="D152" s="9"/>
      <c r="E152" s="9"/>
      <c r="F152" s="9"/>
      <c r="G152" s="9"/>
      <c r="H152" s="74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</row>
    <row r="153">
      <c r="A153" s="9"/>
      <c r="B153" s="9"/>
      <c r="C153" s="9"/>
      <c r="D153" s="9"/>
      <c r="E153" s="9"/>
      <c r="F153" s="9"/>
      <c r="G153" s="9"/>
      <c r="H153" s="74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</row>
    <row r="154">
      <c r="A154" s="9"/>
      <c r="B154" s="9"/>
      <c r="C154" s="9"/>
      <c r="D154" s="9"/>
      <c r="E154" s="9"/>
      <c r="F154" s="9"/>
      <c r="G154" s="9"/>
      <c r="H154" s="74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</row>
    <row r="155">
      <c r="A155" s="9"/>
      <c r="B155" s="9"/>
      <c r="C155" s="9"/>
      <c r="D155" s="9"/>
      <c r="E155" s="9"/>
      <c r="F155" s="9"/>
      <c r="G155" s="9"/>
      <c r="H155" s="74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</row>
    <row r="156">
      <c r="A156" s="9"/>
      <c r="B156" s="9"/>
      <c r="C156" s="9"/>
      <c r="D156" s="9"/>
      <c r="E156" s="9"/>
      <c r="F156" s="9"/>
      <c r="G156" s="9"/>
      <c r="H156" s="74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</row>
    <row r="157">
      <c r="A157" s="9"/>
      <c r="B157" s="9"/>
      <c r="C157" s="9"/>
      <c r="D157" s="9"/>
      <c r="E157" s="9"/>
      <c r="F157" s="9"/>
      <c r="G157" s="9"/>
      <c r="H157" s="74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</row>
    <row r="158">
      <c r="A158" s="9"/>
      <c r="B158" s="9"/>
      <c r="C158" s="9"/>
      <c r="D158" s="9"/>
      <c r="E158" s="9"/>
      <c r="F158" s="9"/>
      <c r="G158" s="9"/>
      <c r="H158" s="74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</row>
    <row r="159">
      <c r="A159" s="9"/>
      <c r="B159" s="9"/>
      <c r="C159" s="9"/>
      <c r="D159" s="9"/>
      <c r="E159" s="9"/>
      <c r="F159" s="9"/>
      <c r="G159" s="9"/>
      <c r="H159" s="74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</row>
    <row r="160">
      <c r="A160" s="9"/>
      <c r="B160" s="9"/>
      <c r="C160" s="9"/>
      <c r="D160" s="9"/>
      <c r="E160" s="9"/>
      <c r="F160" s="9"/>
      <c r="G160" s="9"/>
      <c r="H160" s="74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</row>
    <row r="161">
      <c r="A161" s="9"/>
      <c r="B161" s="9"/>
      <c r="C161" s="9"/>
      <c r="D161" s="9"/>
      <c r="E161" s="9"/>
      <c r="F161" s="9"/>
      <c r="G161" s="9"/>
      <c r="H161" s="74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</row>
    <row r="162">
      <c r="A162" s="9"/>
      <c r="B162" s="9"/>
      <c r="C162" s="9"/>
      <c r="D162" s="9"/>
      <c r="E162" s="9"/>
      <c r="F162" s="9"/>
      <c r="G162" s="9"/>
      <c r="H162" s="74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</row>
    <row r="163">
      <c r="A163" s="9"/>
      <c r="B163" s="9"/>
      <c r="C163" s="9"/>
      <c r="D163" s="9"/>
      <c r="E163" s="9"/>
      <c r="F163" s="9"/>
      <c r="G163" s="9"/>
      <c r="H163" s="74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</row>
    <row r="164">
      <c r="A164" s="9"/>
      <c r="B164" s="9"/>
      <c r="C164" s="9"/>
      <c r="D164" s="9"/>
      <c r="E164" s="9"/>
      <c r="F164" s="9"/>
      <c r="G164" s="9"/>
      <c r="H164" s="74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</row>
    <row r="165">
      <c r="A165" s="9"/>
      <c r="B165" s="9"/>
      <c r="C165" s="9"/>
      <c r="D165" s="9"/>
      <c r="E165" s="9"/>
      <c r="F165" s="9"/>
      <c r="G165" s="9"/>
      <c r="H165" s="74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</row>
    <row r="166">
      <c r="A166" s="9"/>
      <c r="B166" s="9"/>
      <c r="C166" s="9"/>
      <c r="D166" s="9"/>
      <c r="E166" s="9"/>
      <c r="F166" s="9"/>
      <c r="G166" s="9"/>
      <c r="H166" s="74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</row>
    <row r="167">
      <c r="A167" s="9"/>
      <c r="B167" s="9"/>
      <c r="C167" s="9"/>
      <c r="D167" s="9"/>
      <c r="E167" s="9"/>
      <c r="F167" s="9"/>
      <c r="G167" s="9"/>
      <c r="H167" s="74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</row>
    <row r="168">
      <c r="A168" s="9"/>
      <c r="B168" s="9"/>
      <c r="C168" s="9"/>
      <c r="D168" s="9"/>
      <c r="E168" s="9"/>
      <c r="F168" s="9"/>
      <c r="G168" s="9"/>
      <c r="H168" s="74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</row>
    <row r="169">
      <c r="A169" s="9"/>
      <c r="B169" s="9"/>
      <c r="C169" s="9"/>
      <c r="D169" s="9"/>
      <c r="E169" s="9"/>
      <c r="F169" s="9"/>
      <c r="G169" s="9"/>
      <c r="H169" s="74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</row>
    <row r="170">
      <c r="A170" s="9"/>
      <c r="B170" s="9"/>
      <c r="C170" s="9"/>
      <c r="D170" s="9"/>
      <c r="E170" s="9"/>
      <c r="F170" s="9"/>
      <c r="G170" s="9"/>
      <c r="H170" s="74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</row>
    <row r="171">
      <c r="A171" s="9"/>
      <c r="B171" s="9"/>
      <c r="C171" s="9"/>
      <c r="D171" s="9"/>
      <c r="E171" s="9"/>
      <c r="F171" s="9"/>
      <c r="G171" s="9"/>
      <c r="H171" s="74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</row>
    <row r="172">
      <c r="A172" s="9"/>
      <c r="B172" s="9"/>
      <c r="C172" s="9"/>
      <c r="D172" s="9"/>
      <c r="E172" s="9"/>
      <c r="F172" s="9"/>
      <c r="G172" s="9"/>
      <c r="H172" s="74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</row>
    <row r="173">
      <c r="A173" s="9"/>
      <c r="B173" s="9"/>
      <c r="C173" s="9"/>
      <c r="D173" s="9"/>
      <c r="E173" s="9"/>
      <c r="F173" s="9"/>
      <c r="G173" s="9"/>
      <c r="H173" s="74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</row>
    <row r="174">
      <c r="A174" s="9"/>
      <c r="B174" s="9"/>
      <c r="C174" s="9"/>
      <c r="D174" s="9"/>
      <c r="E174" s="9"/>
      <c r="F174" s="9"/>
      <c r="G174" s="9"/>
      <c r="H174" s="74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</row>
    <row r="175">
      <c r="A175" s="9"/>
      <c r="B175" s="9"/>
      <c r="C175" s="9"/>
      <c r="D175" s="9"/>
      <c r="E175" s="9"/>
      <c r="F175" s="9"/>
      <c r="G175" s="9"/>
      <c r="H175" s="74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</row>
    <row r="176">
      <c r="A176" s="9"/>
      <c r="B176" s="9"/>
      <c r="C176" s="9"/>
      <c r="D176" s="9"/>
      <c r="E176" s="9"/>
      <c r="F176" s="9"/>
      <c r="G176" s="9"/>
      <c r="H176" s="74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</row>
    <row r="177">
      <c r="A177" s="9"/>
      <c r="B177" s="9"/>
      <c r="C177" s="9"/>
      <c r="D177" s="9"/>
      <c r="E177" s="9"/>
      <c r="F177" s="9"/>
      <c r="G177" s="9"/>
      <c r="H177" s="74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</row>
    <row r="178">
      <c r="A178" s="9"/>
      <c r="B178" s="9"/>
      <c r="C178" s="9"/>
      <c r="D178" s="9"/>
      <c r="E178" s="9"/>
      <c r="F178" s="9"/>
      <c r="G178" s="9"/>
      <c r="H178" s="74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</row>
    <row r="179">
      <c r="A179" s="9"/>
      <c r="B179" s="9"/>
      <c r="C179" s="9"/>
      <c r="D179" s="9"/>
      <c r="E179" s="9"/>
      <c r="F179" s="9"/>
      <c r="G179" s="9"/>
      <c r="H179" s="74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</row>
    <row r="180">
      <c r="A180" s="9"/>
      <c r="B180" s="9"/>
      <c r="C180" s="9"/>
      <c r="D180" s="9"/>
      <c r="E180" s="9"/>
      <c r="F180" s="9"/>
      <c r="G180" s="9"/>
      <c r="H180" s="74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</row>
    <row r="181">
      <c r="A181" s="9"/>
      <c r="B181" s="9"/>
      <c r="C181" s="9"/>
      <c r="D181" s="9"/>
      <c r="E181" s="9"/>
      <c r="F181" s="9"/>
      <c r="G181" s="9"/>
      <c r="H181" s="74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</row>
    <row r="182">
      <c r="A182" s="9"/>
      <c r="B182" s="9"/>
      <c r="C182" s="9"/>
      <c r="D182" s="9"/>
      <c r="E182" s="9"/>
      <c r="F182" s="9"/>
      <c r="G182" s="9"/>
      <c r="H182" s="74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</row>
    <row r="183">
      <c r="A183" s="9"/>
      <c r="B183" s="9"/>
      <c r="C183" s="9"/>
      <c r="D183" s="9"/>
      <c r="E183" s="9"/>
      <c r="F183" s="9"/>
      <c r="G183" s="9"/>
      <c r="H183" s="74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</row>
    <row r="184">
      <c r="A184" s="9"/>
      <c r="B184" s="9"/>
      <c r="C184" s="9"/>
      <c r="D184" s="9"/>
      <c r="E184" s="9"/>
      <c r="F184" s="9"/>
      <c r="G184" s="9"/>
      <c r="H184" s="74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</row>
    <row r="185">
      <c r="A185" s="9"/>
      <c r="B185" s="9"/>
      <c r="C185" s="9"/>
      <c r="D185" s="9"/>
      <c r="E185" s="9"/>
      <c r="F185" s="9"/>
      <c r="G185" s="9"/>
      <c r="H185" s="74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</row>
    <row r="186">
      <c r="A186" s="9"/>
      <c r="B186" s="9"/>
      <c r="C186" s="9"/>
      <c r="D186" s="9"/>
      <c r="E186" s="9"/>
      <c r="F186" s="9"/>
      <c r="G186" s="9"/>
      <c r="H186" s="74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</row>
    <row r="187">
      <c r="A187" s="9"/>
      <c r="B187" s="9"/>
      <c r="C187" s="9"/>
      <c r="D187" s="9"/>
      <c r="E187" s="9"/>
      <c r="F187" s="9"/>
      <c r="G187" s="9"/>
      <c r="H187" s="74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</row>
    <row r="188">
      <c r="A188" s="9"/>
      <c r="B188" s="9"/>
      <c r="C188" s="9"/>
      <c r="D188" s="9"/>
      <c r="E188" s="9"/>
      <c r="F188" s="9"/>
      <c r="G188" s="9"/>
      <c r="H188" s="74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</row>
    <row r="189">
      <c r="A189" s="9"/>
      <c r="B189" s="9"/>
      <c r="C189" s="9"/>
      <c r="D189" s="9"/>
      <c r="E189" s="9"/>
      <c r="F189" s="9"/>
      <c r="G189" s="9"/>
      <c r="H189" s="74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</row>
    <row r="190">
      <c r="A190" s="9"/>
      <c r="B190" s="9"/>
      <c r="C190" s="9"/>
      <c r="D190" s="9"/>
      <c r="E190" s="9"/>
      <c r="F190" s="9"/>
      <c r="G190" s="9"/>
      <c r="H190" s="74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</row>
    <row r="191">
      <c r="A191" s="9"/>
      <c r="B191" s="9"/>
      <c r="C191" s="9"/>
      <c r="D191" s="9"/>
      <c r="E191" s="9"/>
      <c r="F191" s="9"/>
      <c r="G191" s="9"/>
      <c r="H191" s="74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</row>
    <row r="192">
      <c r="A192" s="9"/>
      <c r="B192" s="9"/>
      <c r="C192" s="9"/>
      <c r="D192" s="9"/>
      <c r="E192" s="9"/>
      <c r="F192" s="9"/>
      <c r="G192" s="9"/>
      <c r="H192" s="74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</row>
    <row r="193">
      <c r="A193" s="9"/>
      <c r="B193" s="9"/>
      <c r="C193" s="9"/>
      <c r="D193" s="9"/>
      <c r="E193" s="9"/>
      <c r="F193" s="9"/>
      <c r="G193" s="9"/>
      <c r="H193" s="74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</row>
    <row r="194">
      <c r="A194" s="9"/>
      <c r="B194" s="9"/>
      <c r="C194" s="9"/>
      <c r="D194" s="9"/>
      <c r="E194" s="9"/>
      <c r="F194" s="9"/>
      <c r="G194" s="9"/>
      <c r="H194" s="74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</row>
    <row r="195">
      <c r="A195" s="9"/>
      <c r="B195" s="9"/>
      <c r="C195" s="9"/>
      <c r="D195" s="9"/>
      <c r="E195" s="9"/>
      <c r="F195" s="9"/>
      <c r="G195" s="9"/>
      <c r="H195" s="74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</row>
    <row r="196">
      <c r="A196" s="9"/>
      <c r="B196" s="9"/>
      <c r="C196" s="9"/>
      <c r="D196" s="9"/>
      <c r="E196" s="9"/>
      <c r="F196" s="9"/>
      <c r="G196" s="9"/>
      <c r="H196" s="74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</row>
    <row r="197">
      <c r="A197" s="9"/>
      <c r="B197" s="9"/>
      <c r="C197" s="9"/>
      <c r="D197" s="9"/>
      <c r="E197" s="9"/>
      <c r="F197" s="9"/>
      <c r="G197" s="9"/>
      <c r="H197" s="74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</row>
    <row r="198">
      <c r="A198" s="9"/>
      <c r="B198" s="9"/>
      <c r="C198" s="9"/>
      <c r="D198" s="9"/>
      <c r="E198" s="9"/>
      <c r="F198" s="9"/>
      <c r="G198" s="9"/>
      <c r="H198" s="74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</row>
    <row r="199">
      <c r="A199" s="9"/>
      <c r="B199" s="9"/>
      <c r="C199" s="9"/>
      <c r="D199" s="9"/>
      <c r="E199" s="9"/>
      <c r="F199" s="9"/>
      <c r="G199" s="9"/>
      <c r="H199" s="74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</row>
    <row r="200">
      <c r="A200" s="9"/>
      <c r="B200" s="9"/>
      <c r="C200" s="9"/>
      <c r="D200" s="9"/>
      <c r="E200" s="9"/>
      <c r="F200" s="9"/>
      <c r="G200" s="9"/>
      <c r="H200" s="74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</row>
    <row r="201">
      <c r="A201" s="9"/>
      <c r="B201" s="9"/>
      <c r="C201" s="9"/>
      <c r="D201" s="9"/>
      <c r="E201" s="9"/>
      <c r="F201" s="9"/>
      <c r="G201" s="9"/>
      <c r="H201" s="74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</row>
    <row r="202">
      <c r="A202" s="9"/>
      <c r="B202" s="9"/>
      <c r="C202" s="9"/>
      <c r="D202" s="9"/>
      <c r="E202" s="9"/>
      <c r="F202" s="9"/>
      <c r="G202" s="9"/>
      <c r="H202" s="74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</row>
    <row r="203">
      <c r="A203" s="9"/>
      <c r="B203" s="9"/>
      <c r="C203" s="9"/>
      <c r="D203" s="9"/>
      <c r="E203" s="9"/>
      <c r="F203" s="9"/>
      <c r="G203" s="9"/>
      <c r="H203" s="74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</row>
    <row r="204">
      <c r="A204" s="9"/>
      <c r="B204" s="9"/>
      <c r="C204" s="9"/>
      <c r="D204" s="9"/>
      <c r="E204" s="9"/>
      <c r="F204" s="9"/>
      <c r="G204" s="9"/>
      <c r="H204" s="74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</row>
    <row r="205">
      <c r="A205" s="9"/>
      <c r="B205" s="9"/>
      <c r="C205" s="9"/>
      <c r="D205" s="9"/>
      <c r="E205" s="9"/>
      <c r="F205" s="9"/>
      <c r="G205" s="9"/>
      <c r="H205" s="74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</row>
    <row r="206">
      <c r="A206" s="9"/>
      <c r="B206" s="9"/>
      <c r="C206" s="9"/>
      <c r="D206" s="9"/>
      <c r="E206" s="9"/>
      <c r="F206" s="9"/>
      <c r="G206" s="9"/>
      <c r="H206" s="74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</row>
    <row r="207">
      <c r="A207" s="9"/>
      <c r="B207" s="9"/>
      <c r="C207" s="9"/>
      <c r="D207" s="9"/>
      <c r="E207" s="9"/>
      <c r="F207" s="9"/>
      <c r="G207" s="9"/>
      <c r="H207" s="74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</row>
    <row r="208">
      <c r="A208" s="9"/>
      <c r="B208" s="9"/>
      <c r="C208" s="9"/>
      <c r="D208" s="9"/>
      <c r="E208" s="9"/>
      <c r="F208" s="9"/>
      <c r="G208" s="9"/>
      <c r="H208" s="74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</row>
    <row r="209">
      <c r="A209" s="9"/>
      <c r="B209" s="9"/>
      <c r="C209" s="9"/>
      <c r="D209" s="9"/>
      <c r="E209" s="9"/>
      <c r="F209" s="9"/>
      <c r="G209" s="9"/>
      <c r="H209" s="74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</row>
    <row r="210">
      <c r="A210" s="9"/>
      <c r="B210" s="9"/>
      <c r="C210" s="9"/>
      <c r="D210" s="9"/>
      <c r="E210" s="9"/>
      <c r="F210" s="9"/>
      <c r="G210" s="9"/>
      <c r="H210" s="74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</row>
    <row r="211">
      <c r="A211" s="9"/>
      <c r="B211" s="9"/>
      <c r="C211" s="9"/>
      <c r="D211" s="9"/>
      <c r="E211" s="9"/>
      <c r="F211" s="9"/>
      <c r="G211" s="9"/>
      <c r="H211" s="74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</row>
    <row r="212">
      <c r="A212" s="9"/>
      <c r="B212" s="9"/>
      <c r="C212" s="9"/>
      <c r="D212" s="9"/>
      <c r="E212" s="9"/>
      <c r="F212" s="9"/>
      <c r="G212" s="9"/>
      <c r="H212" s="74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</row>
    <row r="213">
      <c r="A213" s="9"/>
      <c r="B213" s="9"/>
      <c r="C213" s="9"/>
      <c r="D213" s="9"/>
      <c r="E213" s="9"/>
      <c r="F213" s="9"/>
      <c r="G213" s="9"/>
      <c r="H213" s="74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</row>
    <row r="214">
      <c r="A214" s="9"/>
      <c r="B214" s="9"/>
      <c r="C214" s="9"/>
      <c r="D214" s="9"/>
      <c r="E214" s="9"/>
      <c r="F214" s="9"/>
      <c r="G214" s="9"/>
      <c r="H214" s="74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</row>
    <row r="215">
      <c r="A215" s="9"/>
      <c r="B215" s="9"/>
      <c r="C215" s="9"/>
      <c r="D215" s="9"/>
      <c r="E215" s="9"/>
      <c r="F215" s="9"/>
      <c r="G215" s="9"/>
      <c r="H215" s="74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</row>
    <row r="216">
      <c r="A216" s="9"/>
      <c r="B216" s="9"/>
      <c r="C216" s="9"/>
      <c r="D216" s="9"/>
      <c r="E216" s="9"/>
      <c r="F216" s="9"/>
      <c r="G216" s="9"/>
      <c r="H216" s="74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</row>
    <row r="217">
      <c r="A217" s="9"/>
      <c r="B217" s="9"/>
      <c r="C217" s="9"/>
      <c r="D217" s="9"/>
      <c r="E217" s="9"/>
      <c r="F217" s="9"/>
      <c r="G217" s="9"/>
      <c r="H217" s="74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</row>
    <row r="218">
      <c r="A218" s="9"/>
      <c r="B218" s="9"/>
      <c r="C218" s="9"/>
      <c r="D218" s="9"/>
      <c r="E218" s="9"/>
      <c r="F218" s="9"/>
      <c r="G218" s="9"/>
      <c r="H218" s="74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</row>
    <row r="219">
      <c r="A219" s="9"/>
      <c r="B219" s="9"/>
      <c r="C219" s="9"/>
      <c r="D219" s="9"/>
      <c r="E219" s="9"/>
      <c r="F219" s="9"/>
      <c r="G219" s="9"/>
      <c r="H219" s="74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</row>
    <row r="220">
      <c r="A220" s="9"/>
      <c r="B220" s="9"/>
      <c r="C220" s="9"/>
      <c r="D220" s="9"/>
      <c r="E220" s="9"/>
      <c r="F220" s="9"/>
      <c r="G220" s="9"/>
      <c r="H220" s="74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</row>
    <row r="221">
      <c r="A221" s="9"/>
      <c r="B221" s="9"/>
      <c r="C221" s="9"/>
      <c r="D221" s="9"/>
      <c r="E221" s="9"/>
      <c r="F221" s="9"/>
      <c r="G221" s="9"/>
      <c r="H221" s="74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</row>
    <row r="222">
      <c r="A222" s="9"/>
      <c r="B222" s="9"/>
      <c r="C222" s="9"/>
      <c r="D222" s="9"/>
      <c r="E222" s="9"/>
      <c r="F222" s="9"/>
      <c r="G222" s="9"/>
      <c r="H222" s="74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</row>
    <row r="223">
      <c r="A223" s="9"/>
      <c r="B223" s="9"/>
      <c r="C223" s="9"/>
      <c r="D223" s="9"/>
      <c r="E223" s="9"/>
      <c r="F223" s="9"/>
      <c r="G223" s="9"/>
      <c r="H223" s="74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</row>
    <row r="224">
      <c r="A224" s="9"/>
      <c r="B224" s="9"/>
      <c r="C224" s="9"/>
      <c r="D224" s="9"/>
      <c r="E224" s="9"/>
      <c r="F224" s="9"/>
      <c r="G224" s="9"/>
      <c r="H224" s="74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</row>
    <row r="225">
      <c r="A225" s="9"/>
      <c r="B225" s="9"/>
      <c r="C225" s="9"/>
      <c r="D225" s="9"/>
      <c r="E225" s="9"/>
      <c r="F225" s="9"/>
      <c r="G225" s="9"/>
      <c r="H225" s="74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</row>
    <row r="226">
      <c r="A226" s="9"/>
      <c r="B226" s="9"/>
      <c r="C226" s="9"/>
      <c r="D226" s="9"/>
      <c r="E226" s="9"/>
      <c r="F226" s="9"/>
      <c r="G226" s="9"/>
      <c r="H226" s="74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</row>
    <row r="227">
      <c r="A227" s="9"/>
      <c r="B227" s="9"/>
      <c r="C227" s="9"/>
      <c r="D227" s="9"/>
      <c r="E227" s="9"/>
      <c r="F227" s="9"/>
      <c r="G227" s="9"/>
      <c r="H227" s="74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</row>
    <row r="228">
      <c r="A228" s="9"/>
      <c r="B228" s="9"/>
      <c r="C228" s="9"/>
      <c r="D228" s="9"/>
      <c r="E228" s="9"/>
      <c r="F228" s="9"/>
      <c r="G228" s="9"/>
      <c r="H228" s="74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</row>
    <row r="229">
      <c r="A229" s="9"/>
      <c r="B229" s="9"/>
      <c r="C229" s="9"/>
      <c r="D229" s="9"/>
      <c r="E229" s="9"/>
      <c r="F229" s="9"/>
      <c r="G229" s="9"/>
      <c r="H229" s="74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</row>
    <row r="230">
      <c r="A230" s="9"/>
      <c r="B230" s="9"/>
      <c r="C230" s="9"/>
      <c r="D230" s="9"/>
      <c r="E230" s="9"/>
      <c r="F230" s="9"/>
      <c r="G230" s="9"/>
      <c r="H230" s="74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</row>
    <row r="231">
      <c r="A231" s="9"/>
      <c r="B231" s="9"/>
      <c r="C231" s="9"/>
      <c r="D231" s="9"/>
      <c r="E231" s="9"/>
      <c r="F231" s="9"/>
      <c r="G231" s="9"/>
      <c r="H231" s="74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</row>
    <row r="232">
      <c r="A232" s="9"/>
      <c r="B232" s="9"/>
      <c r="C232" s="9"/>
      <c r="D232" s="9"/>
      <c r="E232" s="9"/>
      <c r="F232" s="9"/>
      <c r="G232" s="9"/>
      <c r="H232" s="74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</row>
    <row r="233">
      <c r="A233" s="9"/>
      <c r="B233" s="9"/>
      <c r="C233" s="9"/>
      <c r="D233" s="9"/>
      <c r="E233" s="9"/>
      <c r="F233" s="9"/>
      <c r="G233" s="9"/>
      <c r="H233" s="74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</row>
    <row r="234">
      <c r="A234" s="9"/>
      <c r="B234" s="9"/>
      <c r="C234" s="9"/>
      <c r="D234" s="9"/>
      <c r="E234" s="9"/>
      <c r="F234" s="9"/>
      <c r="G234" s="9"/>
      <c r="H234" s="74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</row>
    <row r="235">
      <c r="A235" s="9"/>
      <c r="B235" s="9"/>
      <c r="C235" s="9"/>
      <c r="D235" s="9"/>
      <c r="E235" s="9"/>
      <c r="F235" s="9"/>
      <c r="G235" s="9"/>
      <c r="H235" s="74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</row>
    <row r="236">
      <c r="A236" s="9"/>
      <c r="B236" s="9"/>
      <c r="C236" s="9"/>
      <c r="D236" s="9"/>
      <c r="E236" s="9"/>
      <c r="F236" s="9"/>
      <c r="G236" s="9"/>
      <c r="H236" s="74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</row>
    <row r="237">
      <c r="A237" s="9"/>
      <c r="B237" s="9"/>
      <c r="C237" s="9"/>
      <c r="D237" s="9"/>
      <c r="E237" s="9"/>
      <c r="F237" s="9"/>
      <c r="G237" s="9"/>
      <c r="H237" s="74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</row>
    <row r="238">
      <c r="A238" s="9"/>
      <c r="B238" s="9"/>
      <c r="C238" s="9"/>
      <c r="D238" s="9"/>
      <c r="E238" s="9"/>
      <c r="F238" s="9"/>
      <c r="G238" s="9"/>
      <c r="H238" s="74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</row>
    <row r="239">
      <c r="A239" s="9"/>
      <c r="B239" s="9"/>
      <c r="C239" s="9"/>
      <c r="D239" s="9"/>
      <c r="E239" s="9"/>
      <c r="F239" s="9"/>
      <c r="G239" s="9"/>
      <c r="H239" s="74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</row>
    <row r="240">
      <c r="A240" s="9"/>
      <c r="B240" s="9"/>
      <c r="C240" s="9"/>
      <c r="D240" s="9"/>
      <c r="E240" s="9"/>
      <c r="F240" s="9"/>
      <c r="G240" s="9"/>
      <c r="H240" s="74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</row>
    <row r="241">
      <c r="A241" s="9"/>
      <c r="B241" s="9"/>
      <c r="C241" s="9"/>
      <c r="D241" s="9"/>
      <c r="E241" s="9"/>
      <c r="F241" s="9"/>
      <c r="G241" s="9"/>
      <c r="H241" s="74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</row>
    <row r="242">
      <c r="A242" s="9"/>
      <c r="B242" s="9"/>
      <c r="C242" s="9"/>
      <c r="D242" s="9"/>
      <c r="E242" s="9"/>
      <c r="F242" s="9"/>
      <c r="G242" s="9"/>
      <c r="H242" s="74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</row>
    <row r="243">
      <c r="A243" s="9"/>
      <c r="B243" s="9"/>
      <c r="C243" s="9"/>
      <c r="D243" s="9"/>
      <c r="E243" s="9"/>
      <c r="F243" s="9"/>
      <c r="G243" s="9"/>
      <c r="H243" s="74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</row>
    <row r="244">
      <c r="A244" s="9"/>
      <c r="B244" s="9"/>
      <c r="C244" s="9"/>
      <c r="D244" s="9"/>
      <c r="E244" s="9"/>
      <c r="F244" s="9"/>
      <c r="G244" s="9"/>
      <c r="H244" s="74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</row>
    <row r="245">
      <c r="A245" s="9"/>
      <c r="B245" s="9"/>
      <c r="C245" s="9"/>
      <c r="D245" s="9"/>
      <c r="E245" s="9"/>
      <c r="F245" s="9"/>
      <c r="G245" s="9"/>
      <c r="H245" s="74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</row>
    <row r="246">
      <c r="A246" s="9"/>
      <c r="B246" s="9"/>
      <c r="C246" s="9"/>
      <c r="D246" s="9"/>
      <c r="E246" s="9"/>
      <c r="F246" s="9"/>
      <c r="G246" s="9"/>
      <c r="H246" s="74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</row>
    <row r="247">
      <c r="A247" s="9"/>
      <c r="B247" s="9"/>
      <c r="C247" s="9"/>
      <c r="D247" s="9"/>
      <c r="E247" s="9"/>
      <c r="F247" s="9"/>
      <c r="G247" s="9"/>
      <c r="H247" s="74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</row>
    <row r="248">
      <c r="A248" s="9"/>
      <c r="B248" s="9"/>
      <c r="C248" s="9"/>
      <c r="D248" s="9"/>
      <c r="E248" s="9"/>
      <c r="F248" s="9"/>
      <c r="G248" s="9"/>
      <c r="H248" s="74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</row>
    <row r="249">
      <c r="A249" s="9"/>
      <c r="B249" s="9"/>
      <c r="C249" s="9"/>
      <c r="D249" s="9"/>
      <c r="E249" s="9"/>
      <c r="F249" s="9"/>
      <c r="G249" s="9"/>
      <c r="H249" s="74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</row>
    <row r="250">
      <c r="A250" s="9"/>
      <c r="B250" s="9"/>
      <c r="C250" s="9"/>
      <c r="D250" s="9"/>
      <c r="E250" s="9"/>
      <c r="F250" s="9"/>
      <c r="G250" s="9"/>
      <c r="H250" s="74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</row>
    <row r="251">
      <c r="A251" s="9"/>
      <c r="B251" s="9"/>
      <c r="C251" s="9"/>
      <c r="D251" s="9"/>
      <c r="E251" s="9"/>
      <c r="F251" s="9"/>
      <c r="G251" s="9"/>
      <c r="H251" s="74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</row>
    <row r="252">
      <c r="A252" s="9"/>
      <c r="B252" s="9"/>
      <c r="C252" s="9"/>
      <c r="D252" s="9"/>
      <c r="E252" s="9"/>
      <c r="F252" s="9"/>
      <c r="G252" s="9"/>
      <c r="H252" s="74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</row>
    <row r="253">
      <c r="A253" s="9"/>
      <c r="B253" s="9"/>
      <c r="C253" s="9"/>
      <c r="D253" s="9"/>
      <c r="E253" s="9"/>
      <c r="F253" s="9"/>
      <c r="G253" s="9"/>
      <c r="H253" s="74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</row>
    <row r="254">
      <c r="A254" s="9"/>
      <c r="B254" s="9"/>
      <c r="C254" s="9"/>
      <c r="D254" s="9"/>
      <c r="E254" s="9"/>
      <c r="F254" s="9"/>
      <c r="G254" s="9"/>
      <c r="H254" s="74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</row>
    <row r="255">
      <c r="A255" s="9"/>
      <c r="B255" s="9"/>
      <c r="C255" s="9"/>
      <c r="D255" s="9"/>
      <c r="E255" s="9"/>
      <c r="F255" s="9"/>
      <c r="G255" s="9"/>
      <c r="H255" s="74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</row>
    <row r="256">
      <c r="A256" s="9"/>
      <c r="B256" s="9"/>
      <c r="C256" s="9"/>
      <c r="D256" s="9"/>
      <c r="E256" s="9"/>
      <c r="F256" s="9"/>
      <c r="G256" s="9"/>
      <c r="H256" s="74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</row>
    <row r="257">
      <c r="A257" s="9"/>
      <c r="B257" s="9"/>
      <c r="C257" s="9"/>
      <c r="D257" s="9"/>
      <c r="E257" s="9"/>
      <c r="F257" s="9"/>
      <c r="G257" s="9"/>
      <c r="H257" s="74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</row>
    <row r="258">
      <c r="A258" s="9"/>
      <c r="B258" s="9"/>
      <c r="C258" s="9"/>
      <c r="D258" s="9"/>
      <c r="E258" s="9"/>
      <c r="F258" s="9"/>
      <c r="G258" s="9"/>
      <c r="H258" s="74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</row>
    <row r="259">
      <c r="A259" s="9"/>
      <c r="B259" s="9"/>
      <c r="C259" s="9"/>
      <c r="D259" s="9"/>
      <c r="E259" s="9"/>
      <c r="F259" s="9"/>
      <c r="G259" s="9"/>
      <c r="H259" s="74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</row>
    <row r="260">
      <c r="A260" s="9"/>
      <c r="B260" s="9"/>
      <c r="C260" s="9"/>
      <c r="D260" s="9"/>
      <c r="E260" s="9"/>
      <c r="F260" s="9"/>
      <c r="G260" s="9"/>
      <c r="H260" s="74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</row>
    <row r="261">
      <c r="A261" s="9"/>
      <c r="B261" s="9"/>
      <c r="C261" s="9"/>
      <c r="D261" s="9"/>
      <c r="E261" s="9"/>
      <c r="F261" s="9"/>
      <c r="G261" s="9"/>
      <c r="H261" s="74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</row>
    <row r="262">
      <c r="A262" s="9"/>
      <c r="B262" s="9"/>
      <c r="C262" s="9"/>
      <c r="D262" s="9"/>
      <c r="E262" s="9"/>
      <c r="F262" s="9"/>
      <c r="G262" s="9"/>
      <c r="H262" s="74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</row>
    <row r="263">
      <c r="A263" s="9"/>
      <c r="B263" s="9"/>
      <c r="C263" s="9"/>
      <c r="D263" s="9"/>
      <c r="E263" s="9"/>
      <c r="F263" s="9"/>
      <c r="G263" s="9"/>
      <c r="H263" s="74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</row>
    <row r="264">
      <c r="A264" s="9"/>
      <c r="B264" s="9"/>
      <c r="C264" s="9"/>
      <c r="D264" s="9"/>
      <c r="E264" s="9"/>
      <c r="F264" s="9"/>
      <c r="G264" s="9"/>
      <c r="H264" s="74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</row>
    <row r="265">
      <c r="A265" s="9"/>
      <c r="B265" s="9"/>
      <c r="C265" s="9"/>
      <c r="D265" s="9"/>
      <c r="E265" s="9"/>
      <c r="F265" s="9"/>
      <c r="G265" s="9"/>
      <c r="H265" s="74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</row>
    <row r="266">
      <c r="A266" s="9"/>
      <c r="B266" s="9"/>
      <c r="C266" s="9"/>
      <c r="D266" s="9"/>
      <c r="E266" s="9"/>
      <c r="F266" s="9"/>
      <c r="G266" s="9"/>
      <c r="H266" s="74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</row>
    <row r="267">
      <c r="A267" s="9"/>
      <c r="B267" s="9"/>
      <c r="C267" s="9"/>
      <c r="D267" s="9"/>
      <c r="E267" s="9"/>
      <c r="F267" s="9"/>
      <c r="G267" s="9"/>
      <c r="H267" s="74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</row>
    <row r="268">
      <c r="A268" s="9"/>
      <c r="B268" s="9"/>
      <c r="C268" s="9"/>
      <c r="D268" s="9"/>
      <c r="E268" s="9"/>
      <c r="F268" s="9"/>
      <c r="G268" s="9"/>
      <c r="H268" s="74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</row>
    <row r="269">
      <c r="A269" s="9"/>
      <c r="B269" s="9"/>
      <c r="C269" s="9"/>
      <c r="D269" s="9"/>
      <c r="E269" s="9"/>
      <c r="F269" s="9"/>
      <c r="G269" s="9"/>
      <c r="H269" s="74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</row>
    <row r="270">
      <c r="A270" s="9"/>
      <c r="B270" s="9"/>
      <c r="C270" s="9"/>
      <c r="D270" s="9"/>
      <c r="E270" s="9"/>
      <c r="F270" s="9"/>
      <c r="G270" s="9"/>
      <c r="H270" s="74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</row>
    <row r="271">
      <c r="A271" s="9"/>
      <c r="B271" s="9"/>
      <c r="C271" s="9"/>
      <c r="D271" s="9"/>
      <c r="E271" s="9"/>
      <c r="F271" s="9"/>
      <c r="G271" s="9"/>
      <c r="H271" s="74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</row>
    <row r="272">
      <c r="A272" s="9"/>
      <c r="B272" s="9"/>
      <c r="C272" s="9"/>
      <c r="D272" s="9"/>
      <c r="E272" s="9"/>
      <c r="F272" s="9"/>
      <c r="G272" s="9"/>
      <c r="H272" s="74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</row>
    <row r="273">
      <c r="A273" s="9"/>
      <c r="B273" s="9"/>
      <c r="C273" s="9"/>
      <c r="D273" s="9"/>
      <c r="E273" s="9"/>
      <c r="F273" s="9"/>
      <c r="G273" s="9"/>
      <c r="H273" s="74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</row>
    <row r="274">
      <c r="A274" s="9"/>
      <c r="B274" s="9"/>
      <c r="C274" s="9"/>
      <c r="D274" s="9"/>
      <c r="E274" s="9"/>
      <c r="F274" s="9"/>
      <c r="G274" s="9"/>
      <c r="H274" s="74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</row>
    <row r="275">
      <c r="A275" s="9"/>
      <c r="B275" s="9"/>
      <c r="C275" s="9"/>
      <c r="D275" s="9"/>
      <c r="E275" s="9"/>
      <c r="F275" s="9"/>
      <c r="G275" s="9"/>
      <c r="H275" s="74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</row>
    <row r="276">
      <c r="A276" s="9"/>
      <c r="B276" s="9"/>
      <c r="C276" s="9"/>
      <c r="D276" s="9"/>
      <c r="E276" s="9"/>
      <c r="F276" s="9"/>
      <c r="G276" s="9"/>
      <c r="H276" s="74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</row>
    <row r="277">
      <c r="A277" s="9"/>
      <c r="B277" s="9"/>
      <c r="C277" s="9"/>
      <c r="D277" s="9"/>
      <c r="E277" s="9"/>
      <c r="F277" s="9"/>
      <c r="G277" s="9"/>
      <c r="H277" s="74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</row>
    <row r="278">
      <c r="A278" s="9"/>
      <c r="B278" s="9"/>
      <c r="C278" s="9"/>
      <c r="D278" s="9"/>
      <c r="E278" s="9"/>
      <c r="F278" s="9"/>
      <c r="G278" s="9"/>
      <c r="H278" s="74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</row>
    <row r="279">
      <c r="A279" s="9"/>
      <c r="B279" s="9"/>
      <c r="C279" s="9"/>
      <c r="D279" s="9"/>
      <c r="E279" s="9"/>
      <c r="F279" s="9"/>
      <c r="G279" s="9"/>
      <c r="H279" s="74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</row>
    <row r="280">
      <c r="A280" s="9"/>
      <c r="B280" s="9"/>
      <c r="C280" s="9"/>
      <c r="D280" s="9"/>
      <c r="E280" s="9"/>
      <c r="F280" s="9"/>
      <c r="G280" s="9"/>
      <c r="H280" s="74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</row>
    <row r="281">
      <c r="A281" s="9"/>
      <c r="B281" s="9"/>
      <c r="C281" s="9"/>
      <c r="D281" s="9"/>
      <c r="E281" s="9"/>
      <c r="F281" s="9"/>
      <c r="G281" s="9"/>
      <c r="H281" s="74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</row>
    <row r="282">
      <c r="A282" s="9"/>
      <c r="B282" s="9"/>
      <c r="C282" s="9"/>
      <c r="D282" s="9"/>
      <c r="E282" s="9"/>
      <c r="F282" s="9"/>
      <c r="G282" s="9"/>
      <c r="H282" s="74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</row>
    <row r="283">
      <c r="A283" s="9"/>
      <c r="B283" s="9"/>
      <c r="C283" s="9"/>
      <c r="D283" s="9"/>
      <c r="E283" s="9"/>
      <c r="F283" s="9"/>
      <c r="G283" s="9"/>
      <c r="H283" s="74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</row>
    <row r="284">
      <c r="A284" s="9"/>
      <c r="B284" s="9"/>
      <c r="C284" s="9"/>
      <c r="D284" s="9"/>
      <c r="E284" s="9"/>
      <c r="F284" s="9"/>
      <c r="G284" s="9"/>
      <c r="H284" s="74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</row>
    <row r="285">
      <c r="A285" s="9"/>
      <c r="B285" s="9"/>
      <c r="C285" s="9"/>
      <c r="D285" s="9"/>
      <c r="E285" s="9"/>
      <c r="F285" s="9"/>
      <c r="G285" s="9"/>
      <c r="H285" s="74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</row>
    <row r="286">
      <c r="A286" s="9"/>
      <c r="B286" s="9"/>
      <c r="C286" s="9"/>
      <c r="D286" s="9"/>
      <c r="E286" s="9"/>
      <c r="F286" s="9"/>
      <c r="G286" s="9"/>
      <c r="H286" s="74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</row>
    <row r="287">
      <c r="A287" s="9"/>
      <c r="B287" s="9"/>
      <c r="C287" s="9"/>
      <c r="D287" s="9"/>
      <c r="E287" s="9"/>
      <c r="F287" s="9"/>
      <c r="G287" s="9"/>
      <c r="H287" s="74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</row>
    <row r="288">
      <c r="A288" s="9"/>
      <c r="B288" s="9"/>
      <c r="C288" s="9"/>
      <c r="D288" s="9"/>
      <c r="E288" s="9"/>
      <c r="F288" s="9"/>
      <c r="G288" s="9"/>
      <c r="H288" s="74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</row>
    <row r="289">
      <c r="A289" s="9"/>
      <c r="B289" s="9"/>
      <c r="C289" s="9"/>
      <c r="D289" s="9"/>
      <c r="E289" s="9"/>
      <c r="F289" s="9"/>
      <c r="G289" s="9"/>
      <c r="H289" s="74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</row>
    <row r="290">
      <c r="A290" s="9"/>
      <c r="B290" s="9"/>
      <c r="C290" s="9"/>
      <c r="D290" s="9"/>
      <c r="E290" s="9"/>
      <c r="F290" s="9"/>
      <c r="G290" s="9"/>
      <c r="H290" s="74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</row>
    <row r="291">
      <c r="A291" s="9"/>
      <c r="B291" s="9"/>
      <c r="C291" s="9"/>
      <c r="D291" s="9"/>
      <c r="E291" s="9"/>
      <c r="F291" s="9"/>
      <c r="G291" s="9"/>
      <c r="H291" s="74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</row>
    <row r="292">
      <c r="A292" s="9"/>
      <c r="B292" s="9"/>
      <c r="C292" s="9"/>
      <c r="D292" s="9"/>
      <c r="E292" s="9"/>
      <c r="F292" s="9"/>
      <c r="G292" s="9"/>
      <c r="H292" s="74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</row>
    <row r="293">
      <c r="A293" s="9"/>
      <c r="B293" s="9"/>
      <c r="C293" s="9"/>
      <c r="D293" s="9"/>
      <c r="E293" s="9"/>
      <c r="F293" s="9"/>
      <c r="G293" s="9"/>
      <c r="H293" s="74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</row>
    <row r="294">
      <c r="A294" s="9"/>
      <c r="B294" s="9"/>
      <c r="C294" s="9"/>
      <c r="D294" s="9"/>
      <c r="E294" s="9"/>
      <c r="F294" s="9"/>
      <c r="G294" s="9"/>
      <c r="H294" s="74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</row>
    <row r="295">
      <c r="A295" s="9"/>
      <c r="B295" s="9"/>
      <c r="C295" s="9"/>
      <c r="D295" s="9"/>
      <c r="E295" s="9"/>
      <c r="F295" s="9"/>
      <c r="G295" s="9"/>
      <c r="H295" s="74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</row>
    <row r="296">
      <c r="A296" s="9"/>
      <c r="B296" s="9"/>
      <c r="C296" s="9"/>
      <c r="D296" s="9"/>
      <c r="E296" s="9"/>
      <c r="F296" s="9"/>
      <c r="G296" s="9"/>
      <c r="H296" s="74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</row>
    <row r="297">
      <c r="A297" s="9"/>
      <c r="B297" s="9"/>
      <c r="C297" s="9"/>
      <c r="D297" s="9"/>
      <c r="E297" s="9"/>
      <c r="F297" s="9"/>
      <c r="G297" s="9"/>
      <c r="H297" s="74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</row>
    <row r="298">
      <c r="A298" s="9"/>
      <c r="B298" s="9"/>
      <c r="C298" s="9"/>
      <c r="D298" s="9"/>
      <c r="E298" s="9"/>
      <c r="F298" s="9"/>
      <c r="G298" s="9"/>
      <c r="H298" s="74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</row>
    <row r="299">
      <c r="A299" s="9"/>
      <c r="B299" s="9"/>
      <c r="C299" s="9"/>
      <c r="D299" s="9"/>
      <c r="E299" s="9"/>
      <c r="F299" s="9"/>
      <c r="G299" s="9"/>
      <c r="H299" s="74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</row>
    <row r="300">
      <c r="A300" s="9"/>
      <c r="B300" s="9"/>
      <c r="C300" s="9"/>
      <c r="D300" s="9"/>
      <c r="E300" s="9"/>
      <c r="F300" s="9"/>
      <c r="G300" s="9"/>
      <c r="H300" s="74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</row>
    <row r="301">
      <c r="A301" s="9"/>
      <c r="B301" s="9"/>
      <c r="C301" s="9"/>
      <c r="D301" s="9"/>
      <c r="E301" s="9"/>
      <c r="F301" s="9"/>
      <c r="G301" s="9"/>
      <c r="H301" s="74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</row>
    <row r="302">
      <c r="A302" s="9"/>
      <c r="B302" s="9"/>
      <c r="C302" s="9"/>
      <c r="D302" s="9"/>
      <c r="E302" s="9"/>
      <c r="F302" s="9"/>
      <c r="G302" s="9"/>
      <c r="H302" s="74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</row>
    <row r="303">
      <c r="A303" s="9"/>
      <c r="B303" s="9"/>
      <c r="C303" s="9"/>
      <c r="D303" s="9"/>
      <c r="E303" s="9"/>
      <c r="F303" s="9"/>
      <c r="G303" s="9"/>
      <c r="H303" s="74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</row>
    <row r="304">
      <c r="A304" s="9"/>
      <c r="B304" s="9"/>
      <c r="C304" s="9"/>
      <c r="D304" s="9"/>
      <c r="E304" s="9"/>
      <c r="F304" s="9"/>
      <c r="G304" s="9"/>
      <c r="H304" s="74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</row>
    <row r="305">
      <c r="A305" s="9"/>
      <c r="B305" s="9"/>
      <c r="C305" s="9"/>
      <c r="D305" s="9"/>
      <c r="E305" s="9"/>
      <c r="F305" s="9"/>
      <c r="G305" s="9"/>
      <c r="H305" s="74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</row>
    <row r="306">
      <c r="A306" s="9"/>
      <c r="B306" s="9"/>
      <c r="C306" s="9"/>
      <c r="D306" s="9"/>
      <c r="E306" s="9"/>
      <c r="F306" s="9"/>
      <c r="G306" s="9"/>
      <c r="H306" s="74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</row>
    <row r="307">
      <c r="A307" s="9"/>
      <c r="B307" s="9"/>
      <c r="C307" s="9"/>
      <c r="D307" s="9"/>
      <c r="E307" s="9"/>
      <c r="F307" s="9"/>
      <c r="G307" s="9"/>
      <c r="H307" s="74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</row>
    <row r="308">
      <c r="A308" s="9"/>
      <c r="B308" s="9"/>
      <c r="C308" s="9"/>
      <c r="D308" s="9"/>
      <c r="E308" s="9"/>
      <c r="F308" s="9"/>
      <c r="G308" s="9"/>
      <c r="H308" s="74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</row>
    <row r="309">
      <c r="A309" s="9"/>
      <c r="B309" s="9"/>
      <c r="C309" s="9"/>
      <c r="D309" s="9"/>
      <c r="E309" s="9"/>
      <c r="F309" s="9"/>
      <c r="G309" s="9"/>
      <c r="H309" s="74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</row>
    <row r="310">
      <c r="A310" s="9"/>
      <c r="B310" s="9"/>
      <c r="C310" s="9"/>
      <c r="D310" s="9"/>
      <c r="E310" s="9"/>
      <c r="F310" s="9"/>
      <c r="G310" s="9"/>
      <c r="H310" s="74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</row>
    <row r="311">
      <c r="A311" s="9"/>
      <c r="B311" s="9"/>
      <c r="C311" s="9"/>
      <c r="D311" s="9"/>
      <c r="E311" s="9"/>
      <c r="F311" s="9"/>
      <c r="G311" s="9"/>
      <c r="H311" s="74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</row>
    <row r="312">
      <c r="A312" s="9"/>
      <c r="B312" s="9"/>
      <c r="C312" s="9"/>
      <c r="D312" s="9"/>
      <c r="E312" s="9"/>
      <c r="F312" s="9"/>
      <c r="G312" s="9"/>
      <c r="H312" s="74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</row>
    <row r="313">
      <c r="A313" s="9"/>
      <c r="B313" s="9"/>
      <c r="C313" s="9"/>
      <c r="D313" s="9"/>
      <c r="E313" s="9"/>
      <c r="F313" s="9"/>
      <c r="G313" s="9"/>
      <c r="H313" s="74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</row>
    <row r="314">
      <c r="A314" s="9"/>
      <c r="B314" s="9"/>
      <c r="C314" s="9"/>
      <c r="D314" s="9"/>
      <c r="E314" s="9"/>
      <c r="F314" s="9"/>
      <c r="G314" s="9"/>
      <c r="H314" s="74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</row>
    <row r="315">
      <c r="A315" s="9"/>
      <c r="B315" s="9"/>
      <c r="C315" s="9"/>
      <c r="D315" s="9"/>
      <c r="E315" s="9"/>
      <c r="F315" s="9"/>
      <c r="G315" s="9"/>
      <c r="H315" s="74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</row>
    <row r="316">
      <c r="A316" s="9"/>
      <c r="B316" s="9"/>
      <c r="C316" s="9"/>
      <c r="D316" s="9"/>
      <c r="E316" s="9"/>
      <c r="F316" s="9"/>
      <c r="G316" s="9"/>
      <c r="H316" s="74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</row>
    <row r="317">
      <c r="A317" s="9"/>
      <c r="B317" s="9"/>
      <c r="C317" s="9"/>
      <c r="D317" s="9"/>
      <c r="E317" s="9"/>
      <c r="F317" s="9"/>
      <c r="G317" s="9"/>
      <c r="H317" s="74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</row>
    <row r="318">
      <c r="A318" s="9"/>
      <c r="B318" s="9"/>
      <c r="C318" s="9"/>
      <c r="D318" s="9"/>
      <c r="E318" s="9"/>
      <c r="F318" s="9"/>
      <c r="G318" s="9"/>
      <c r="H318" s="74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</row>
    <row r="319">
      <c r="A319" s="9"/>
      <c r="B319" s="9"/>
      <c r="C319" s="9"/>
      <c r="D319" s="9"/>
      <c r="E319" s="9"/>
      <c r="F319" s="9"/>
      <c r="G319" s="9"/>
      <c r="H319" s="74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</row>
    <row r="320">
      <c r="A320" s="9"/>
      <c r="B320" s="9"/>
      <c r="C320" s="9"/>
      <c r="D320" s="9"/>
      <c r="E320" s="9"/>
      <c r="F320" s="9"/>
      <c r="G320" s="9"/>
      <c r="H320" s="74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</row>
    <row r="321">
      <c r="A321" s="9"/>
      <c r="B321" s="9"/>
      <c r="C321" s="9"/>
      <c r="D321" s="9"/>
      <c r="E321" s="9"/>
      <c r="F321" s="9"/>
      <c r="G321" s="9"/>
      <c r="H321" s="74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</row>
    <row r="322">
      <c r="A322" s="9"/>
      <c r="B322" s="9"/>
      <c r="C322" s="9"/>
      <c r="D322" s="9"/>
      <c r="E322" s="9"/>
      <c r="F322" s="9"/>
      <c r="G322" s="9"/>
      <c r="H322" s="74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</row>
    <row r="323">
      <c r="A323" s="9"/>
      <c r="B323" s="9"/>
      <c r="C323" s="9"/>
      <c r="D323" s="9"/>
      <c r="E323" s="9"/>
      <c r="F323" s="9"/>
      <c r="G323" s="9"/>
      <c r="H323" s="74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</row>
    <row r="324">
      <c r="A324" s="9"/>
      <c r="B324" s="9"/>
      <c r="C324" s="9"/>
      <c r="D324" s="9"/>
      <c r="E324" s="9"/>
      <c r="F324" s="9"/>
      <c r="G324" s="9"/>
      <c r="H324" s="74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</row>
    <row r="325">
      <c r="A325" s="9"/>
      <c r="B325" s="9"/>
      <c r="C325" s="9"/>
      <c r="D325" s="9"/>
      <c r="E325" s="9"/>
      <c r="F325" s="9"/>
      <c r="G325" s="9"/>
      <c r="H325" s="74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</row>
    <row r="326">
      <c r="A326" s="9"/>
      <c r="B326" s="9"/>
      <c r="C326" s="9"/>
      <c r="D326" s="9"/>
      <c r="E326" s="9"/>
      <c r="F326" s="9"/>
      <c r="G326" s="9"/>
      <c r="H326" s="74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</row>
    <row r="327">
      <c r="A327" s="9"/>
      <c r="B327" s="9"/>
      <c r="C327" s="9"/>
      <c r="D327" s="9"/>
      <c r="E327" s="9"/>
      <c r="F327" s="9"/>
      <c r="G327" s="9"/>
      <c r="H327" s="74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</row>
    <row r="328">
      <c r="A328" s="9"/>
      <c r="B328" s="9"/>
      <c r="C328" s="9"/>
      <c r="D328" s="9"/>
      <c r="E328" s="9"/>
      <c r="F328" s="9"/>
      <c r="G328" s="9"/>
      <c r="H328" s="74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</row>
    <row r="329">
      <c r="A329" s="9"/>
      <c r="B329" s="9"/>
      <c r="C329" s="9"/>
      <c r="D329" s="9"/>
      <c r="E329" s="9"/>
      <c r="F329" s="9"/>
      <c r="G329" s="9"/>
      <c r="H329" s="74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</row>
    <row r="330">
      <c r="A330" s="9"/>
      <c r="B330" s="9"/>
      <c r="C330" s="9"/>
      <c r="D330" s="9"/>
      <c r="E330" s="9"/>
      <c r="F330" s="9"/>
      <c r="G330" s="9"/>
      <c r="H330" s="74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</row>
    <row r="331">
      <c r="A331" s="9"/>
      <c r="B331" s="9"/>
      <c r="C331" s="9"/>
      <c r="D331" s="9"/>
      <c r="E331" s="9"/>
      <c r="F331" s="9"/>
      <c r="G331" s="9"/>
      <c r="H331" s="74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</row>
    <row r="332">
      <c r="A332" s="9"/>
      <c r="B332" s="9"/>
      <c r="C332" s="9"/>
      <c r="D332" s="9"/>
      <c r="E332" s="9"/>
      <c r="F332" s="9"/>
      <c r="G332" s="9"/>
      <c r="H332" s="74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</row>
    <row r="333">
      <c r="A333" s="9"/>
      <c r="B333" s="9"/>
      <c r="C333" s="9"/>
      <c r="D333" s="9"/>
      <c r="E333" s="9"/>
      <c r="F333" s="9"/>
      <c r="G333" s="9"/>
      <c r="H333" s="74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</row>
    <row r="334">
      <c r="A334" s="9"/>
      <c r="B334" s="9"/>
      <c r="C334" s="9"/>
      <c r="D334" s="9"/>
      <c r="E334" s="9"/>
      <c r="F334" s="9"/>
      <c r="G334" s="9"/>
      <c r="H334" s="74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</row>
    <row r="335">
      <c r="A335" s="9"/>
      <c r="B335" s="9"/>
      <c r="C335" s="9"/>
      <c r="D335" s="9"/>
      <c r="E335" s="9"/>
      <c r="F335" s="9"/>
      <c r="G335" s="9"/>
      <c r="H335" s="74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</row>
    <row r="336">
      <c r="A336" s="9"/>
      <c r="B336" s="9"/>
      <c r="C336" s="9"/>
      <c r="D336" s="9"/>
      <c r="E336" s="9"/>
      <c r="F336" s="9"/>
      <c r="G336" s="9"/>
      <c r="H336" s="74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</row>
    <row r="337">
      <c r="A337" s="9"/>
      <c r="B337" s="9"/>
      <c r="C337" s="9"/>
      <c r="D337" s="9"/>
      <c r="E337" s="9"/>
      <c r="F337" s="9"/>
      <c r="G337" s="9"/>
      <c r="H337" s="74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</row>
    <row r="338">
      <c r="A338" s="9"/>
      <c r="B338" s="9"/>
      <c r="C338" s="9"/>
      <c r="D338" s="9"/>
      <c r="E338" s="9"/>
      <c r="F338" s="9"/>
      <c r="G338" s="9"/>
      <c r="H338" s="74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</row>
    <row r="339">
      <c r="A339" s="9"/>
      <c r="B339" s="9"/>
      <c r="C339" s="9"/>
      <c r="D339" s="9"/>
      <c r="E339" s="9"/>
      <c r="F339" s="9"/>
      <c r="G339" s="9"/>
      <c r="H339" s="74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</row>
    <row r="340">
      <c r="A340" s="9"/>
      <c r="B340" s="9"/>
      <c r="C340" s="9"/>
      <c r="D340" s="9"/>
      <c r="E340" s="9"/>
      <c r="F340" s="9"/>
      <c r="G340" s="9"/>
      <c r="H340" s="74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</row>
    <row r="341">
      <c r="A341" s="9"/>
      <c r="B341" s="9"/>
      <c r="C341" s="9"/>
      <c r="D341" s="9"/>
      <c r="E341" s="9"/>
      <c r="F341" s="9"/>
      <c r="G341" s="9"/>
      <c r="H341" s="74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</row>
    <row r="342">
      <c r="A342" s="9"/>
      <c r="B342" s="9"/>
      <c r="C342" s="9"/>
      <c r="D342" s="9"/>
      <c r="E342" s="9"/>
      <c r="F342" s="9"/>
      <c r="G342" s="9"/>
      <c r="H342" s="74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</row>
    <row r="343">
      <c r="A343" s="9"/>
      <c r="B343" s="9"/>
      <c r="C343" s="9"/>
      <c r="D343" s="9"/>
      <c r="E343" s="9"/>
      <c r="F343" s="9"/>
      <c r="G343" s="9"/>
      <c r="H343" s="74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</row>
    <row r="344">
      <c r="A344" s="9"/>
      <c r="B344" s="9"/>
      <c r="C344" s="9"/>
      <c r="D344" s="9"/>
      <c r="E344" s="9"/>
      <c r="F344" s="9"/>
      <c r="G344" s="9"/>
      <c r="H344" s="74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</row>
    <row r="345">
      <c r="A345" s="9"/>
      <c r="B345" s="9"/>
      <c r="C345" s="9"/>
      <c r="D345" s="9"/>
      <c r="E345" s="9"/>
      <c r="F345" s="9"/>
      <c r="G345" s="9"/>
      <c r="H345" s="74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</row>
    <row r="346">
      <c r="A346" s="9"/>
      <c r="B346" s="9"/>
      <c r="C346" s="9"/>
      <c r="D346" s="9"/>
      <c r="E346" s="9"/>
      <c r="F346" s="9"/>
      <c r="G346" s="9"/>
      <c r="H346" s="74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</row>
    <row r="347">
      <c r="A347" s="9"/>
      <c r="B347" s="9"/>
      <c r="C347" s="9"/>
      <c r="D347" s="9"/>
      <c r="E347" s="9"/>
      <c r="F347" s="9"/>
      <c r="G347" s="9"/>
      <c r="H347" s="74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</row>
    <row r="348">
      <c r="A348" s="9"/>
      <c r="B348" s="9"/>
      <c r="C348" s="9"/>
      <c r="D348" s="9"/>
      <c r="E348" s="9"/>
      <c r="F348" s="9"/>
      <c r="G348" s="9"/>
      <c r="H348" s="74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</row>
    <row r="349">
      <c r="A349" s="9"/>
      <c r="B349" s="9"/>
      <c r="C349" s="9"/>
      <c r="D349" s="9"/>
      <c r="E349" s="9"/>
      <c r="F349" s="9"/>
      <c r="G349" s="9"/>
      <c r="H349" s="74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</row>
    <row r="350">
      <c r="A350" s="9"/>
      <c r="B350" s="9"/>
      <c r="C350" s="9"/>
      <c r="D350" s="9"/>
      <c r="E350" s="9"/>
      <c r="F350" s="9"/>
      <c r="G350" s="9"/>
      <c r="H350" s="74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</row>
    <row r="351">
      <c r="A351" s="9"/>
      <c r="B351" s="9"/>
      <c r="C351" s="9"/>
      <c r="D351" s="9"/>
      <c r="E351" s="9"/>
      <c r="F351" s="9"/>
      <c r="G351" s="9"/>
      <c r="H351" s="74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</row>
    <row r="352">
      <c r="A352" s="9"/>
      <c r="B352" s="9"/>
      <c r="C352" s="9"/>
      <c r="D352" s="9"/>
      <c r="E352" s="9"/>
      <c r="F352" s="9"/>
      <c r="G352" s="9"/>
      <c r="H352" s="74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</row>
    <row r="353">
      <c r="A353" s="9"/>
      <c r="B353" s="9"/>
      <c r="C353" s="9"/>
      <c r="D353" s="9"/>
      <c r="E353" s="9"/>
      <c r="F353" s="9"/>
      <c r="G353" s="9"/>
      <c r="H353" s="74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</row>
    <row r="354">
      <c r="A354" s="9"/>
      <c r="B354" s="9"/>
      <c r="C354" s="9"/>
      <c r="D354" s="9"/>
      <c r="E354" s="9"/>
      <c r="F354" s="9"/>
      <c r="G354" s="9"/>
      <c r="H354" s="74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</row>
    <row r="355">
      <c r="A355" s="9"/>
      <c r="B355" s="9"/>
      <c r="C355" s="9"/>
      <c r="D355" s="9"/>
      <c r="E355" s="9"/>
      <c r="F355" s="9"/>
      <c r="G355" s="9"/>
      <c r="H355" s="74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</row>
    <row r="356">
      <c r="A356" s="9"/>
      <c r="B356" s="9"/>
      <c r="C356" s="9"/>
      <c r="D356" s="9"/>
      <c r="E356" s="9"/>
      <c r="F356" s="9"/>
      <c r="G356" s="9"/>
      <c r="H356" s="74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</row>
    <row r="357">
      <c r="A357" s="9"/>
      <c r="B357" s="9"/>
      <c r="C357" s="9"/>
      <c r="D357" s="9"/>
      <c r="E357" s="9"/>
      <c r="F357" s="9"/>
      <c r="G357" s="9"/>
      <c r="H357" s="74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</row>
    <row r="358">
      <c r="A358" s="9"/>
      <c r="B358" s="9"/>
      <c r="C358" s="9"/>
      <c r="D358" s="9"/>
      <c r="E358" s="9"/>
      <c r="F358" s="9"/>
      <c r="G358" s="9"/>
      <c r="H358" s="74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</row>
    <row r="359">
      <c r="A359" s="9"/>
      <c r="B359" s="9"/>
      <c r="C359" s="9"/>
      <c r="D359" s="9"/>
      <c r="E359" s="9"/>
      <c r="F359" s="9"/>
      <c r="G359" s="9"/>
      <c r="H359" s="74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</row>
    <row r="360">
      <c r="A360" s="9"/>
      <c r="B360" s="9"/>
      <c r="C360" s="9"/>
      <c r="D360" s="9"/>
      <c r="E360" s="9"/>
      <c r="F360" s="9"/>
      <c r="G360" s="9"/>
      <c r="H360" s="74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</row>
    <row r="361">
      <c r="A361" s="9"/>
      <c r="B361" s="9"/>
      <c r="C361" s="9"/>
      <c r="D361" s="9"/>
      <c r="E361" s="9"/>
      <c r="F361" s="9"/>
      <c r="G361" s="9"/>
      <c r="H361" s="74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</row>
    <row r="362">
      <c r="A362" s="9"/>
      <c r="B362" s="9"/>
      <c r="C362" s="9"/>
      <c r="D362" s="9"/>
      <c r="E362" s="9"/>
      <c r="F362" s="9"/>
      <c r="G362" s="9"/>
      <c r="H362" s="74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</row>
    <row r="363">
      <c r="A363" s="9"/>
      <c r="B363" s="9"/>
      <c r="C363" s="9"/>
      <c r="D363" s="9"/>
      <c r="E363" s="9"/>
      <c r="F363" s="9"/>
      <c r="G363" s="9"/>
      <c r="H363" s="74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</row>
    <row r="364">
      <c r="A364" s="9"/>
      <c r="B364" s="9"/>
      <c r="C364" s="9"/>
      <c r="D364" s="9"/>
      <c r="E364" s="9"/>
      <c r="F364" s="9"/>
      <c r="G364" s="9"/>
      <c r="H364" s="74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</row>
    <row r="365">
      <c r="A365" s="9"/>
      <c r="B365" s="9"/>
      <c r="C365" s="9"/>
      <c r="D365" s="9"/>
      <c r="E365" s="9"/>
      <c r="F365" s="9"/>
      <c r="G365" s="9"/>
      <c r="H365" s="74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</row>
    <row r="366">
      <c r="A366" s="9"/>
      <c r="B366" s="9"/>
      <c r="C366" s="9"/>
      <c r="D366" s="9"/>
      <c r="E366" s="9"/>
      <c r="F366" s="9"/>
      <c r="G366" s="9"/>
      <c r="H366" s="74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</row>
    <row r="367">
      <c r="A367" s="9"/>
      <c r="B367" s="9"/>
      <c r="C367" s="9"/>
      <c r="D367" s="9"/>
      <c r="E367" s="9"/>
      <c r="F367" s="9"/>
      <c r="G367" s="9"/>
      <c r="H367" s="74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</row>
    <row r="368">
      <c r="A368" s="9"/>
      <c r="B368" s="9"/>
      <c r="C368" s="9"/>
      <c r="D368" s="9"/>
      <c r="E368" s="9"/>
      <c r="F368" s="9"/>
      <c r="G368" s="9"/>
      <c r="H368" s="74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</row>
    <row r="369">
      <c r="A369" s="9"/>
      <c r="B369" s="9"/>
      <c r="C369" s="9"/>
      <c r="D369" s="9"/>
      <c r="E369" s="9"/>
      <c r="F369" s="9"/>
      <c r="G369" s="9"/>
      <c r="H369" s="74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</row>
    <row r="370">
      <c r="A370" s="9"/>
      <c r="B370" s="9"/>
      <c r="C370" s="9"/>
      <c r="D370" s="9"/>
      <c r="E370" s="9"/>
      <c r="F370" s="9"/>
      <c r="G370" s="9"/>
      <c r="H370" s="74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</row>
    <row r="371">
      <c r="A371" s="9"/>
      <c r="B371" s="9"/>
      <c r="C371" s="9"/>
      <c r="D371" s="9"/>
      <c r="E371" s="9"/>
      <c r="F371" s="9"/>
      <c r="G371" s="9"/>
      <c r="H371" s="74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</row>
    <row r="372">
      <c r="A372" s="9"/>
      <c r="B372" s="9"/>
      <c r="C372" s="9"/>
      <c r="D372" s="9"/>
      <c r="E372" s="9"/>
      <c r="F372" s="9"/>
      <c r="G372" s="9"/>
      <c r="H372" s="74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</row>
    <row r="373">
      <c r="A373" s="9"/>
      <c r="B373" s="9"/>
      <c r="C373" s="9"/>
      <c r="D373" s="9"/>
      <c r="E373" s="9"/>
      <c r="F373" s="9"/>
      <c r="G373" s="9"/>
      <c r="H373" s="74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</row>
    <row r="374">
      <c r="A374" s="9"/>
      <c r="B374" s="9"/>
      <c r="C374" s="9"/>
      <c r="D374" s="9"/>
      <c r="E374" s="9"/>
      <c r="F374" s="9"/>
      <c r="G374" s="9"/>
      <c r="H374" s="74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</row>
    <row r="375">
      <c r="A375" s="9"/>
      <c r="B375" s="9"/>
      <c r="C375" s="9"/>
      <c r="D375" s="9"/>
      <c r="E375" s="9"/>
      <c r="F375" s="9"/>
      <c r="G375" s="9"/>
      <c r="H375" s="74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</row>
    <row r="376">
      <c r="A376" s="9"/>
      <c r="B376" s="9"/>
      <c r="C376" s="9"/>
      <c r="D376" s="9"/>
      <c r="E376" s="9"/>
      <c r="F376" s="9"/>
      <c r="G376" s="9"/>
      <c r="H376" s="74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</row>
    <row r="377">
      <c r="A377" s="9"/>
      <c r="B377" s="9"/>
      <c r="C377" s="9"/>
      <c r="D377" s="9"/>
      <c r="E377" s="9"/>
      <c r="F377" s="9"/>
      <c r="G377" s="9"/>
      <c r="H377" s="74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</row>
    <row r="378">
      <c r="A378" s="9"/>
      <c r="B378" s="9"/>
      <c r="C378" s="9"/>
      <c r="D378" s="9"/>
      <c r="E378" s="9"/>
      <c r="F378" s="9"/>
      <c r="G378" s="9"/>
      <c r="H378" s="74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</row>
    <row r="379">
      <c r="A379" s="9"/>
      <c r="B379" s="9"/>
      <c r="C379" s="9"/>
      <c r="D379" s="9"/>
      <c r="E379" s="9"/>
      <c r="F379" s="9"/>
      <c r="G379" s="9"/>
      <c r="H379" s="74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</row>
    <row r="380">
      <c r="A380" s="9"/>
      <c r="B380" s="9"/>
      <c r="C380" s="9"/>
      <c r="D380" s="9"/>
      <c r="E380" s="9"/>
      <c r="F380" s="9"/>
      <c r="G380" s="9"/>
      <c r="H380" s="74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</row>
    <row r="381">
      <c r="A381" s="9"/>
      <c r="B381" s="9"/>
      <c r="C381" s="9"/>
      <c r="D381" s="9"/>
      <c r="E381" s="9"/>
      <c r="F381" s="9"/>
      <c r="G381" s="9"/>
      <c r="H381" s="74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</row>
    <row r="382">
      <c r="A382" s="9"/>
      <c r="B382" s="9"/>
      <c r="C382" s="9"/>
      <c r="D382" s="9"/>
      <c r="E382" s="9"/>
      <c r="F382" s="9"/>
      <c r="G382" s="9"/>
      <c r="H382" s="74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</row>
    <row r="383">
      <c r="A383" s="9"/>
      <c r="B383" s="9"/>
      <c r="C383" s="9"/>
      <c r="D383" s="9"/>
      <c r="E383" s="9"/>
      <c r="F383" s="9"/>
      <c r="G383" s="9"/>
      <c r="H383" s="74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</row>
    <row r="384">
      <c r="A384" s="9"/>
      <c r="B384" s="9"/>
      <c r="C384" s="9"/>
      <c r="D384" s="9"/>
      <c r="E384" s="9"/>
      <c r="F384" s="9"/>
      <c r="G384" s="9"/>
      <c r="H384" s="74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</row>
    <row r="385">
      <c r="A385" s="9"/>
      <c r="B385" s="9"/>
      <c r="C385" s="9"/>
      <c r="D385" s="9"/>
      <c r="E385" s="9"/>
      <c r="F385" s="9"/>
      <c r="G385" s="9"/>
      <c r="H385" s="74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</row>
    <row r="386">
      <c r="A386" s="9"/>
      <c r="B386" s="9"/>
      <c r="C386" s="9"/>
      <c r="D386" s="9"/>
      <c r="E386" s="9"/>
      <c r="F386" s="9"/>
      <c r="G386" s="9"/>
      <c r="H386" s="74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</row>
    <row r="387">
      <c r="A387" s="9"/>
      <c r="B387" s="9"/>
      <c r="C387" s="9"/>
      <c r="D387" s="9"/>
      <c r="E387" s="9"/>
      <c r="F387" s="9"/>
      <c r="G387" s="9"/>
      <c r="H387" s="74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</row>
    <row r="388">
      <c r="A388" s="9"/>
      <c r="B388" s="9"/>
      <c r="C388" s="9"/>
      <c r="D388" s="9"/>
      <c r="E388" s="9"/>
      <c r="F388" s="9"/>
      <c r="G388" s="9"/>
      <c r="H388" s="74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</row>
    <row r="389">
      <c r="A389" s="9"/>
      <c r="B389" s="9"/>
      <c r="C389" s="9"/>
      <c r="D389" s="9"/>
      <c r="E389" s="9"/>
      <c r="F389" s="9"/>
      <c r="G389" s="9"/>
      <c r="H389" s="74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</row>
    <row r="390">
      <c r="A390" s="9"/>
      <c r="B390" s="9"/>
      <c r="C390" s="9"/>
      <c r="D390" s="9"/>
      <c r="E390" s="9"/>
      <c r="F390" s="9"/>
      <c r="G390" s="9"/>
      <c r="H390" s="74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</row>
    <row r="391">
      <c r="A391" s="9"/>
      <c r="B391" s="9"/>
      <c r="C391" s="9"/>
      <c r="D391" s="9"/>
      <c r="E391" s="9"/>
      <c r="F391" s="9"/>
      <c r="G391" s="9"/>
      <c r="H391" s="74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</row>
    <row r="392">
      <c r="A392" s="9"/>
      <c r="B392" s="9"/>
      <c r="C392" s="9"/>
      <c r="D392" s="9"/>
      <c r="E392" s="9"/>
      <c r="F392" s="9"/>
      <c r="G392" s="9"/>
      <c r="H392" s="74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</row>
    <row r="393">
      <c r="A393" s="9"/>
      <c r="B393" s="9"/>
      <c r="C393" s="9"/>
      <c r="D393" s="9"/>
      <c r="E393" s="9"/>
      <c r="F393" s="9"/>
      <c r="G393" s="9"/>
      <c r="H393" s="74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</row>
    <row r="394">
      <c r="A394" s="9"/>
      <c r="B394" s="9"/>
      <c r="C394" s="9"/>
      <c r="D394" s="9"/>
      <c r="E394" s="9"/>
      <c r="F394" s="9"/>
      <c r="G394" s="9"/>
      <c r="H394" s="74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</row>
    <row r="395">
      <c r="A395" s="9"/>
      <c r="B395" s="9"/>
      <c r="C395" s="9"/>
      <c r="D395" s="9"/>
      <c r="E395" s="9"/>
      <c r="F395" s="9"/>
      <c r="G395" s="9"/>
      <c r="H395" s="74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</row>
    <row r="396">
      <c r="A396" s="9"/>
      <c r="B396" s="9"/>
      <c r="C396" s="9"/>
      <c r="D396" s="9"/>
      <c r="E396" s="9"/>
      <c r="F396" s="9"/>
      <c r="G396" s="9"/>
      <c r="H396" s="74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</row>
    <row r="397">
      <c r="A397" s="9"/>
      <c r="B397" s="9"/>
      <c r="C397" s="9"/>
      <c r="D397" s="9"/>
      <c r="E397" s="9"/>
      <c r="F397" s="9"/>
      <c r="G397" s="9"/>
      <c r="H397" s="74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</row>
    <row r="398">
      <c r="A398" s="9"/>
      <c r="B398" s="9"/>
      <c r="C398" s="9"/>
      <c r="D398" s="9"/>
      <c r="E398" s="9"/>
      <c r="F398" s="9"/>
      <c r="G398" s="9"/>
      <c r="H398" s="74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</row>
    <row r="399">
      <c r="A399" s="9"/>
      <c r="B399" s="9"/>
      <c r="C399" s="9"/>
      <c r="D399" s="9"/>
      <c r="E399" s="9"/>
      <c r="F399" s="9"/>
      <c r="G399" s="9"/>
      <c r="H399" s="74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</row>
    <row r="400">
      <c r="A400" s="9"/>
      <c r="B400" s="9"/>
      <c r="C400" s="9"/>
      <c r="D400" s="9"/>
      <c r="E400" s="9"/>
      <c r="F400" s="9"/>
      <c r="G400" s="9"/>
      <c r="H400" s="74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</row>
    <row r="401">
      <c r="A401" s="9"/>
      <c r="B401" s="9"/>
      <c r="C401" s="9"/>
      <c r="D401" s="9"/>
      <c r="E401" s="9"/>
      <c r="F401" s="9"/>
      <c r="G401" s="9"/>
      <c r="H401" s="74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</row>
    <row r="402">
      <c r="A402" s="9"/>
      <c r="B402" s="9"/>
      <c r="C402" s="9"/>
      <c r="D402" s="9"/>
      <c r="E402" s="9"/>
      <c r="F402" s="9"/>
      <c r="G402" s="9"/>
      <c r="H402" s="74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</row>
    <row r="403">
      <c r="A403" s="9"/>
      <c r="B403" s="9"/>
      <c r="C403" s="9"/>
      <c r="D403" s="9"/>
      <c r="E403" s="9"/>
      <c r="F403" s="9"/>
      <c r="G403" s="9"/>
      <c r="H403" s="74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</row>
    <row r="404">
      <c r="A404" s="9"/>
      <c r="B404" s="9"/>
      <c r="C404" s="9"/>
      <c r="D404" s="9"/>
      <c r="E404" s="9"/>
      <c r="F404" s="9"/>
      <c r="G404" s="9"/>
      <c r="H404" s="74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</row>
    <row r="405">
      <c r="A405" s="9"/>
      <c r="B405" s="9"/>
      <c r="C405" s="9"/>
      <c r="D405" s="9"/>
      <c r="E405" s="9"/>
      <c r="F405" s="9"/>
      <c r="G405" s="9"/>
      <c r="H405" s="74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</row>
    <row r="406">
      <c r="A406" s="9"/>
      <c r="B406" s="9"/>
      <c r="C406" s="9"/>
      <c r="D406" s="9"/>
      <c r="E406" s="9"/>
      <c r="F406" s="9"/>
      <c r="G406" s="9"/>
      <c r="H406" s="74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</row>
    <row r="407">
      <c r="A407" s="9"/>
      <c r="B407" s="9"/>
      <c r="C407" s="9"/>
      <c r="D407" s="9"/>
      <c r="E407" s="9"/>
      <c r="F407" s="9"/>
      <c r="G407" s="9"/>
      <c r="H407" s="74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</row>
    <row r="408">
      <c r="A408" s="9"/>
      <c r="B408" s="9"/>
      <c r="C408" s="9"/>
      <c r="D408" s="9"/>
      <c r="E408" s="9"/>
      <c r="F408" s="9"/>
      <c r="G408" s="9"/>
      <c r="H408" s="74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</row>
    <row r="409">
      <c r="A409" s="9"/>
      <c r="B409" s="9"/>
      <c r="C409" s="9"/>
      <c r="D409" s="9"/>
      <c r="E409" s="9"/>
      <c r="F409" s="9"/>
      <c r="G409" s="9"/>
      <c r="H409" s="74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</row>
    <row r="410">
      <c r="A410" s="9"/>
      <c r="B410" s="9"/>
      <c r="C410" s="9"/>
      <c r="D410" s="9"/>
      <c r="E410" s="9"/>
      <c r="F410" s="9"/>
      <c r="G410" s="9"/>
      <c r="H410" s="74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</row>
    <row r="411">
      <c r="A411" s="9"/>
      <c r="B411" s="9"/>
      <c r="C411" s="9"/>
      <c r="D411" s="9"/>
      <c r="E411" s="9"/>
      <c r="F411" s="9"/>
      <c r="G411" s="9"/>
      <c r="H411" s="74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</row>
    <row r="412">
      <c r="A412" s="9"/>
      <c r="B412" s="9"/>
      <c r="C412" s="9"/>
      <c r="D412" s="9"/>
      <c r="E412" s="9"/>
      <c r="F412" s="9"/>
      <c r="G412" s="9"/>
      <c r="H412" s="74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</row>
    <row r="413">
      <c r="A413" s="9"/>
      <c r="B413" s="9"/>
      <c r="C413" s="9"/>
      <c r="D413" s="9"/>
      <c r="E413" s="9"/>
      <c r="F413" s="9"/>
      <c r="G413" s="9"/>
      <c r="H413" s="74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</row>
    <row r="414">
      <c r="A414" s="9"/>
      <c r="B414" s="9"/>
      <c r="C414" s="9"/>
      <c r="D414" s="9"/>
      <c r="E414" s="9"/>
      <c r="F414" s="9"/>
      <c r="G414" s="9"/>
      <c r="H414" s="74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</row>
    <row r="415">
      <c r="A415" s="9"/>
      <c r="B415" s="9"/>
      <c r="C415" s="9"/>
      <c r="D415" s="9"/>
      <c r="E415" s="9"/>
      <c r="F415" s="9"/>
      <c r="G415" s="9"/>
      <c r="H415" s="74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</row>
    <row r="416">
      <c r="A416" s="9"/>
      <c r="B416" s="9"/>
      <c r="C416" s="9"/>
      <c r="D416" s="9"/>
      <c r="E416" s="9"/>
      <c r="F416" s="9"/>
      <c r="G416" s="9"/>
      <c r="H416" s="74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</row>
    <row r="417">
      <c r="A417" s="9"/>
      <c r="B417" s="9"/>
      <c r="C417" s="9"/>
      <c r="D417" s="9"/>
      <c r="E417" s="9"/>
      <c r="F417" s="9"/>
      <c r="G417" s="9"/>
      <c r="H417" s="74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</row>
    <row r="418">
      <c r="A418" s="9"/>
      <c r="B418" s="9"/>
      <c r="C418" s="9"/>
      <c r="D418" s="9"/>
      <c r="E418" s="9"/>
      <c r="F418" s="9"/>
      <c r="G418" s="9"/>
      <c r="H418" s="74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</row>
    <row r="419">
      <c r="A419" s="9"/>
      <c r="B419" s="9"/>
      <c r="C419" s="9"/>
      <c r="D419" s="9"/>
      <c r="E419" s="9"/>
      <c r="F419" s="9"/>
      <c r="G419" s="9"/>
      <c r="H419" s="74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</row>
    <row r="420">
      <c r="A420" s="9"/>
      <c r="B420" s="9"/>
      <c r="C420" s="9"/>
      <c r="D420" s="9"/>
      <c r="E420" s="9"/>
      <c r="F420" s="9"/>
      <c r="G420" s="9"/>
      <c r="H420" s="74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</row>
    <row r="421">
      <c r="A421" s="9"/>
      <c r="B421" s="9"/>
      <c r="C421" s="9"/>
      <c r="D421" s="9"/>
      <c r="E421" s="9"/>
      <c r="F421" s="9"/>
      <c r="G421" s="9"/>
      <c r="H421" s="74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</row>
    <row r="422">
      <c r="A422" s="9"/>
      <c r="B422" s="9"/>
      <c r="C422" s="9"/>
      <c r="D422" s="9"/>
      <c r="E422" s="9"/>
      <c r="F422" s="9"/>
      <c r="G422" s="9"/>
      <c r="H422" s="74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</row>
    <row r="423">
      <c r="A423" s="9"/>
      <c r="B423" s="9"/>
      <c r="C423" s="9"/>
      <c r="D423" s="9"/>
      <c r="E423" s="9"/>
      <c r="F423" s="9"/>
      <c r="G423" s="9"/>
      <c r="H423" s="74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</row>
    <row r="424">
      <c r="A424" s="9"/>
      <c r="B424" s="9"/>
      <c r="C424" s="9"/>
      <c r="D424" s="9"/>
      <c r="E424" s="9"/>
      <c r="F424" s="9"/>
      <c r="G424" s="9"/>
      <c r="H424" s="74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</row>
    <row r="425">
      <c r="A425" s="9"/>
      <c r="B425" s="9"/>
      <c r="C425" s="9"/>
      <c r="D425" s="9"/>
      <c r="E425" s="9"/>
      <c r="F425" s="9"/>
      <c r="G425" s="9"/>
      <c r="H425" s="74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</row>
    <row r="426">
      <c r="A426" s="9"/>
      <c r="B426" s="9"/>
      <c r="C426" s="9"/>
      <c r="D426" s="9"/>
      <c r="E426" s="9"/>
      <c r="F426" s="9"/>
      <c r="G426" s="9"/>
      <c r="H426" s="74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</row>
    <row r="427">
      <c r="A427" s="9"/>
      <c r="B427" s="9"/>
      <c r="C427" s="9"/>
      <c r="D427" s="9"/>
      <c r="E427" s="9"/>
      <c r="F427" s="9"/>
      <c r="G427" s="9"/>
      <c r="H427" s="74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</row>
    <row r="428">
      <c r="A428" s="9"/>
      <c r="B428" s="9"/>
      <c r="C428" s="9"/>
      <c r="D428" s="9"/>
      <c r="E428" s="9"/>
      <c r="F428" s="9"/>
      <c r="G428" s="9"/>
      <c r="H428" s="74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</row>
    <row r="429">
      <c r="A429" s="9"/>
      <c r="B429" s="9"/>
      <c r="C429" s="9"/>
      <c r="D429" s="9"/>
      <c r="E429" s="9"/>
      <c r="F429" s="9"/>
      <c r="G429" s="9"/>
      <c r="H429" s="74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</row>
    <row r="430">
      <c r="A430" s="9"/>
      <c r="B430" s="9"/>
      <c r="C430" s="9"/>
      <c r="D430" s="9"/>
      <c r="E430" s="9"/>
      <c r="F430" s="9"/>
      <c r="G430" s="9"/>
      <c r="H430" s="74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</row>
    <row r="431">
      <c r="A431" s="9"/>
      <c r="B431" s="9"/>
      <c r="C431" s="9"/>
      <c r="D431" s="9"/>
      <c r="E431" s="9"/>
      <c r="F431" s="9"/>
      <c r="G431" s="9"/>
      <c r="H431" s="74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</row>
    <row r="432">
      <c r="A432" s="9"/>
      <c r="B432" s="9"/>
      <c r="C432" s="9"/>
      <c r="D432" s="9"/>
      <c r="E432" s="9"/>
      <c r="F432" s="9"/>
      <c r="G432" s="9"/>
      <c r="H432" s="74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</row>
    <row r="433">
      <c r="A433" s="9"/>
      <c r="B433" s="9"/>
      <c r="C433" s="9"/>
      <c r="D433" s="9"/>
      <c r="E433" s="9"/>
      <c r="F433" s="9"/>
      <c r="G433" s="9"/>
      <c r="H433" s="74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</row>
    <row r="434">
      <c r="A434" s="9"/>
      <c r="B434" s="9"/>
      <c r="C434" s="9"/>
      <c r="D434" s="9"/>
      <c r="E434" s="9"/>
      <c r="F434" s="9"/>
      <c r="G434" s="9"/>
      <c r="H434" s="74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</row>
    <row r="435">
      <c r="A435" s="9"/>
      <c r="B435" s="9"/>
      <c r="C435" s="9"/>
      <c r="D435" s="9"/>
      <c r="E435" s="9"/>
      <c r="F435" s="9"/>
      <c r="G435" s="9"/>
      <c r="H435" s="74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</row>
    <row r="436">
      <c r="A436" s="9"/>
      <c r="B436" s="9"/>
      <c r="C436" s="9"/>
      <c r="D436" s="9"/>
      <c r="E436" s="9"/>
      <c r="F436" s="9"/>
      <c r="G436" s="9"/>
      <c r="H436" s="74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</row>
    <row r="437">
      <c r="A437" s="9"/>
      <c r="B437" s="9"/>
      <c r="C437" s="9"/>
      <c r="D437" s="9"/>
      <c r="E437" s="9"/>
      <c r="F437" s="9"/>
      <c r="G437" s="9"/>
      <c r="H437" s="74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</row>
    <row r="438">
      <c r="A438" s="9"/>
      <c r="B438" s="9"/>
      <c r="C438" s="9"/>
      <c r="D438" s="9"/>
      <c r="E438" s="9"/>
      <c r="F438" s="9"/>
      <c r="G438" s="9"/>
      <c r="H438" s="74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</row>
    <row r="439">
      <c r="A439" s="9"/>
      <c r="B439" s="9"/>
      <c r="C439" s="9"/>
      <c r="D439" s="9"/>
      <c r="E439" s="9"/>
      <c r="F439" s="9"/>
      <c r="G439" s="9"/>
      <c r="H439" s="74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</row>
    <row r="440">
      <c r="A440" s="9"/>
      <c r="B440" s="9"/>
      <c r="C440" s="9"/>
      <c r="D440" s="9"/>
      <c r="E440" s="9"/>
      <c r="F440" s="9"/>
      <c r="G440" s="9"/>
      <c r="H440" s="74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</row>
    <row r="441">
      <c r="A441" s="9"/>
      <c r="B441" s="9"/>
      <c r="C441" s="9"/>
      <c r="D441" s="9"/>
      <c r="E441" s="9"/>
      <c r="F441" s="9"/>
      <c r="G441" s="9"/>
      <c r="H441" s="74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</row>
    <row r="442">
      <c r="A442" s="9"/>
      <c r="B442" s="9"/>
      <c r="C442" s="9"/>
      <c r="D442" s="9"/>
      <c r="E442" s="9"/>
      <c r="F442" s="9"/>
      <c r="G442" s="9"/>
      <c r="H442" s="74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</row>
    <row r="443">
      <c r="A443" s="9"/>
      <c r="B443" s="9"/>
      <c r="C443" s="9"/>
      <c r="D443" s="9"/>
      <c r="E443" s="9"/>
      <c r="F443" s="9"/>
      <c r="G443" s="9"/>
      <c r="H443" s="74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</row>
    <row r="444">
      <c r="A444" s="9"/>
      <c r="B444" s="9"/>
      <c r="C444" s="9"/>
      <c r="D444" s="9"/>
      <c r="E444" s="9"/>
      <c r="F444" s="9"/>
      <c r="G444" s="9"/>
      <c r="H444" s="74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</row>
    <row r="445">
      <c r="A445" s="9"/>
      <c r="B445" s="9"/>
      <c r="C445" s="9"/>
      <c r="D445" s="9"/>
      <c r="E445" s="9"/>
      <c r="F445" s="9"/>
      <c r="G445" s="9"/>
      <c r="H445" s="74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</row>
    <row r="446">
      <c r="A446" s="9"/>
      <c r="B446" s="9"/>
      <c r="C446" s="9"/>
      <c r="D446" s="9"/>
      <c r="E446" s="9"/>
      <c r="F446" s="9"/>
      <c r="G446" s="9"/>
      <c r="H446" s="74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</row>
    <row r="447">
      <c r="A447" s="9"/>
      <c r="B447" s="9"/>
      <c r="C447" s="9"/>
      <c r="D447" s="9"/>
      <c r="E447" s="9"/>
      <c r="F447" s="9"/>
      <c r="G447" s="9"/>
      <c r="H447" s="74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</row>
    <row r="448">
      <c r="A448" s="9"/>
      <c r="B448" s="9"/>
      <c r="C448" s="9"/>
      <c r="D448" s="9"/>
      <c r="E448" s="9"/>
      <c r="F448" s="9"/>
      <c r="G448" s="9"/>
      <c r="H448" s="74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</row>
    <row r="449">
      <c r="A449" s="9"/>
      <c r="B449" s="9"/>
      <c r="C449" s="9"/>
      <c r="D449" s="9"/>
      <c r="E449" s="9"/>
      <c r="F449" s="9"/>
      <c r="G449" s="9"/>
      <c r="H449" s="74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</row>
    <row r="450">
      <c r="A450" s="9"/>
      <c r="B450" s="9"/>
      <c r="C450" s="9"/>
      <c r="D450" s="9"/>
      <c r="E450" s="9"/>
      <c r="F450" s="9"/>
      <c r="G450" s="9"/>
      <c r="H450" s="74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</row>
    <row r="451">
      <c r="A451" s="9"/>
      <c r="B451" s="9"/>
      <c r="C451" s="9"/>
      <c r="D451" s="9"/>
      <c r="E451" s="9"/>
      <c r="F451" s="9"/>
      <c r="G451" s="9"/>
      <c r="H451" s="74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</row>
    <row r="452">
      <c r="A452" s="9"/>
      <c r="B452" s="9"/>
      <c r="C452" s="9"/>
      <c r="D452" s="9"/>
      <c r="E452" s="9"/>
      <c r="F452" s="9"/>
      <c r="G452" s="9"/>
      <c r="H452" s="74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</row>
    <row r="453">
      <c r="A453" s="9"/>
      <c r="B453" s="9"/>
      <c r="C453" s="9"/>
      <c r="D453" s="9"/>
      <c r="E453" s="9"/>
      <c r="F453" s="9"/>
      <c r="G453" s="9"/>
      <c r="H453" s="74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</row>
    <row r="454">
      <c r="A454" s="9"/>
      <c r="B454" s="9"/>
      <c r="C454" s="9"/>
      <c r="D454" s="9"/>
      <c r="E454" s="9"/>
      <c r="F454" s="9"/>
      <c r="G454" s="9"/>
      <c r="H454" s="74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</row>
    <row r="455">
      <c r="A455" s="9"/>
      <c r="B455" s="9"/>
      <c r="C455" s="9"/>
      <c r="D455" s="9"/>
      <c r="E455" s="9"/>
      <c r="F455" s="9"/>
      <c r="G455" s="9"/>
      <c r="H455" s="74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</row>
    <row r="456">
      <c r="A456" s="9"/>
      <c r="B456" s="9"/>
      <c r="C456" s="9"/>
      <c r="D456" s="9"/>
      <c r="E456" s="9"/>
      <c r="F456" s="9"/>
      <c r="G456" s="9"/>
      <c r="H456" s="74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</row>
    <row r="457">
      <c r="A457" s="9"/>
      <c r="B457" s="9"/>
      <c r="C457" s="9"/>
      <c r="D457" s="9"/>
      <c r="E457" s="9"/>
      <c r="F457" s="9"/>
      <c r="G457" s="9"/>
      <c r="H457" s="74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</row>
    <row r="458">
      <c r="A458" s="9"/>
      <c r="B458" s="9"/>
      <c r="C458" s="9"/>
      <c r="D458" s="9"/>
      <c r="E458" s="9"/>
      <c r="F458" s="9"/>
      <c r="G458" s="9"/>
      <c r="H458" s="74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</row>
    <row r="459">
      <c r="A459" s="9"/>
      <c r="B459" s="9"/>
      <c r="C459" s="9"/>
      <c r="D459" s="9"/>
      <c r="E459" s="9"/>
      <c r="F459" s="9"/>
      <c r="G459" s="9"/>
      <c r="H459" s="74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</row>
    <row r="460">
      <c r="A460" s="9"/>
      <c r="B460" s="9"/>
      <c r="C460" s="9"/>
      <c r="D460" s="9"/>
      <c r="E460" s="9"/>
      <c r="F460" s="9"/>
      <c r="G460" s="9"/>
      <c r="H460" s="74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</row>
    <row r="461">
      <c r="A461" s="9"/>
      <c r="B461" s="9"/>
      <c r="C461" s="9"/>
      <c r="D461" s="9"/>
      <c r="E461" s="9"/>
      <c r="F461" s="9"/>
      <c r="G461" s="9"/>
      <c r="H461" s="74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</row>
    <row r="462">
      <c r="A462" s="9"/>
      <c r="B462" s="9"/>
      <c r="C462" s="9"/>
      <c r="D462" s="9"/>
      <c r="E462" s="9"/>
      <c r="F462" s="9"/>
      <c r="G462" s="9"/>
      <c r="H462" s="74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</row>
    <row r="463">
      <c r="A463" s="9"/>
      <c r="B463" s="9"/>
      <c r="C463" s="9"/>
      <c r="D463" s="9"/>
      <c r="E463" s="9"/>
      <c r="F463" s="9"/>
      <c r="G463" s="9"/>
      <c r="H463" s="74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</row>
    <row r="464">
      <c r="A464" s="9"/>
      <c r="B464" s="9"/>
      <c r="C464" s="9"/>
      <c r="D464" s="9"/>
      <c r="E464" s="9"/>
      <c r="F464" s="9"/>
      <c r="G464" s="9"/>
      <c r="H464" s="74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</row>
    <row r="465">
      <c r="A465" s="9"/>
      <c r="B465" s="9"/>
      <c r="C465" s="9"/>
      <c r="D465" s="9"/>
      <c r="E465" s="9"/>
      <c r="F465" s="9"/>
      <c r="G465" s="9"/>
      <c r="H465" s="74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</row>
    <row r="466">
      <c r="A466" s="9"/>
      <c r="B466" s="9"/>
      <c r="C466" s="9"/>
      <c r="D466" s="9"/>
      <c r="E466" s="9"/>
      <c r="F466" s="9"/>
      <c r="G466" s="9"/>
      <c r="H466" s="74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</row>
    <row r="467">
      <c r="A467" s="9"/>
      <c r="B467" s="9"/>
      <c r="C467" s="9"/>
      <c r="D467" s="9"/>
      <c r="E467" s="9"/>
      <c r="F467" s="9"/>
      <c r="G467" s="9"/>
      <c r="H467" s="74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</row>
    <row r="468">
      <c r="A468" s="9"/>
      <c r="B468" s="9"/>
      <c r="C468" s="9"/>
      <c r="D468" s="9"/>
      <c r="E468" s="9"/>
      <c r="F468" s="9"/>
      <c r="G468" s="9"/>
      <c r="H468" s="74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</row>
    <row r="469">
      <c r="A469" s="9"/>
      <c r="B469" s="9"/>
      <c r="C469" s="9"/>
      <c r="D469" s="9"/>
      <c r="E469" s="9"/>
      <c r="F469" s="9"/>
      <c r="G469" s="9"/>
      <c r="H469" s="74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</row>
    <row r="470">
      <c r="A470" s="9"/>
      <c r="B470" s="9"/>
      <c r="C470" s="9"/>
      <c r="D470" s="9"/>
      <c r="E470" s="9"/>
      <c r="F470" s="9"/>
      <c r="G470" s="9"/>
      <c r="H470" s="74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</row>
    <row r="471">
      <c r="A471" s="9"/>
      <c r="B471" s="9"/>
      <c r="C471" s="9"/>
      <c r="D471" s="9"/>
      <c r="E471" s="9"/>
      <c r="F471" s="9"/>
      <c r="G471" s="9"/>
      <c r="H471" s="74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</row>
    <row r="472">
      <c r="A472" s="9"/>
      <c r="B472" s="9"/>
      <c r="C472" s="9"/>
      <c r="D472" s="9"/>
      <c r="E472" s="9"/>
      <c r="F472" s="9"/>
      <c r="G472" s="9"/>
      <c r="H472" s="74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</row>
    <row r="473">
      <c r="A473" s="9"/>
      <c r="B473" s="9"/>
      <c r="C473" s="9"/>
      <c r="D473" s="9"/>
      <c r="E473" s="9"/>
      <c r="F473" s="9"/>
      <c r="G473" s="9"/>
      <c r="H473" s="74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</row>
    <row r="474">
      <c r="A474" s="9"/>
      <c r="B474" s="9"/>
      <c r="C474" s="9"/>
      <c r="D474" s="9"/>
      <c r="E474" s="9"/>
      <c r="F474" s="9"/>
      <c r="G474" s="9"/>
      <c r="H474" s="74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</row>
    <row r="475">
      <c r="A475" s="9"/>
      <c r="B475" s="9"/>
      <c r="C475" s="9"/>
      <c r="D475" s="9"/>
      <c r="E475" s="9"/>
      <c r="F475" s="9"/>
      <c r="G475" s="9"/>
      <c r="H475" s="74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</row>
    <row r="476">
      <c r="A476" s="9"/>
      <c r="B476" s="9"/>
      <c r="C476" s="9"/>
      <c r="D476" s="9"/>
      <c r="E476" s="9"/>
      <c r="F476" s="9"/>
      <c r="G476" s="9"/>
      <c r="H476" s="74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</row>
    <row r="477">
      <c r="A477" s="9"/>
      <c r="B477" s="9"/>
      <c r="C477" s="9"/>
      <c r="D477" s="9"/>
      <c r="E477" s="9"/>
      <c r="F477" s="9"/>
      <c r="G477" s="9"/>
      <c r="H477" s="74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</row>
    <row r="478">
      <c r="A478" s="9"/>
      <c r="B478" s="9"/>
      <c r="C478" s="9"/>
      <c r="D478" s="9"/>
      <c r="E478" s="9"/>
      <c r="F478" s="9"/>
      <c r="G478" s="9"/>
      <c r="H478" s="74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</row>
    <row r="479">
      <c r="A479" s="9"/>
      <c r="B479" s="9"/>
      <c r="C479" s="9"/>
      <c r="D479" s="9"/>
      <c r="E479" s="9"/>
      <c r="F479" s="9"/>
      <c r="G479" s="9"/>
      <c r="H479" s="74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</row>
    <row r="480">
      <c r="A480" s="9"/>
      <c r="B480" s="9"/>
      <c r="C480" s="9"/>
      <c r="D480" s="9"/>
      <c r="E480" s="9"/>
      <c r="F480" s="9"/>
      <c r="G480" s="9"/>
      <c r="H480" s="74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</row>
    <row r="481">
      <c r="A481" s="9"/>
      <c r="B481" s="9"/>
      <c r="C481" s="9"/>
      <c r="D481" s="9"/>
      <c r="E481" s="9"/>
      <c r="F481" s="9"/>
      <c r="G481" s="9"/>
      <c r="H481" s="74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</row>
    <row r="482">
      <c r="A482" s="9"/>
      <c r="B482" s="9"/>
      <c r="C482" s="9"/>
      <c r="D482" s="9"/>
      <c r="E482" s="9"/>
      <c r="F482" s="9"/>
      <c r="G482" s="9"/>
      <c r="H482" s="74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</row>
    <row r="483">
      <c r="A483" s="9"/>
      <c r="B483" s="9"/>
      <c r="C483" s="9"/>
      <c r="D483" s="9"/>
      <c r="E483" s="9"/>
      <c r="F483" s="9"/>
      <c r="G483" s="9"/>
      <c r="H483" s="74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</row>
    <row r="484">
      <c r="A484" s="9"/>
      <c r="B484" s="9"/>
      <c r="C484" s="9"/>
      <c r="D484" s="9"/>
      <c r="E484" s="9"/>
      <c r="F484" s="9"/>
      <c r="G484" s="9"/>
      <c r="H484" s="74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</row>
    <row r="485">
      <c r="A485" s="9"/>
      <c r="B485" s="9"/>
      <c r="C485" s="9"/>
      <c r="D485" s="9"/>
      <c r="E485" s="9"/>
      <c r="F485" s="9"/>
      <c r="G485" s="9"/>
      <c r="H485" s="74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</row>
    <row r="486">
      <c r="A486" s="9"/>
      <c r="B486" s="9"/>
      <c r="C486" s="9"/>
      <c r="D486" s="9"/>
      <c r="E486" s="9"/>
      <c r="F486" s="9"/>
      <c r="G486" s="9"/>
      <c r="H486" s="74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</row>
    <row r="487">
      <c r="A487" s="9"/>
      <c r="B487" s="9"/>
      <c r="C487" s="9"/>
      <c r="D487" s="9"/>
      <c r="E487" s="9"/>
      <c r="F487" s="9"/>
      <c r="G487" s="9"/>
      <c r="H487" s="74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</row>
    <row r="488">
      <c r="A488" s="9"/>
      <c r="B488" s="9"/>
      <c r="C488" s="9"/>
      <c r="D488" s="9"/>
      <c r="E488" s="9"/>
      <c r="F488" s="9"/>
      <c r="G488" s="9"/>
      <c r="H488" s="74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</row>
    <row r="489">
      <c r="A489" s="9"/>
      <c r="B489" s="9"/>
      <c r="C489" s="9"/>
      <c r="D489" s="9"/>
      <c r="E489" s="9"/>
      <c r="F489" s="9"/>
      <c r="G489" s="9"/>
      <c r="H489" s="74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</row>
    <row r="490">
      <c r="A490" s="9"/>
      <c r="B490" s="9"/>
      <c r="C490" s="9"/>
      <c r="D490" s="9"/>
      <c r="E490" s="9"/>
      <c r="F490" s="9"/>
      <c r="G490" s="9"/>
      <c r="H490" s="74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</row>
    <row r="491">
      <c r="A491" s="9"/>
      <c r="B491" s="9"/>
      <c r="C491" s="9"/>
      <c r="D491" s="9"/>
      <c r="E491" s="9"/>
      <c r="F491" s="9"/>
      <c r="G491" s="9"/>
      <c r="H491" s="74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</row>
    <row r="492">
      <c r="A492" s="9"/>
      <c r="B492" s="9"/>
      <c r="C492" s="9"/>
      <c r="D492" s="9"/>
      <c r="E492" s="9"/>
      <c r="F492" s="9"/>
      <c r="G492" s="9"/>
      <c r="H492" s="74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</row>
    <row r="493">
      <c r="A493" s="9"/>
      <c r="B493" s="9"/>
      <c r="C493" s="9"/>
      <c r="D493" s="9"/>
      <c r="E493" s="9"/>
      <c r="F493" s="9"/>
      <c r="G493" s="9"/>
      <c r="H493" s="74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</row>
    <row r="494">
      <c r="A494" s="9"/>
      <c r="B494" s="9"/>
      <c r="C494" s="9"/>
      <c r="D494" s="9"/>
      <c r="E494" s="9"/>
      <c r="F494" s="9"/>
      <c r="G494" s="9"/>
      <c r="H494" s="74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</row>
    <row r="495">
      <c r="A495" s="9"/>
      <c r="B495" s="9"/>
      <c r="C495" s="9"/>
      <c r="D495" s="9"/>
      <c r="E495" s="9"/>
      <c r="F495" s="9"/>
      <c r="G495" s="9"/>
      <c r="H495" s="74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</row>
    <row r="496">
      <c r="A496" s="9"/>
      <c r="B496" s="9"/>
      <c r="C496" s="9"/>
      <c r="D496" s="9"/>
      <c r="E496" s="9"/>
      <c r="F496" s="9"/>
      <c r="G496" s="9"/>
      <c r="H496" s="74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</row>
    <row r="497">
      <c r="A497" s="9"/>
      <c r="B497" s="9"/>
      <c r="C497" s="9"/>
      <c r="D497" s="9"/>
      <c r="E497" s="9"/>
      <c r="F497" s="9"/>
      <c r="G497" s="9"/>
      <c r="H497" s="74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</row>
    <row r="498">
      <c r="A498" s="9"/>
      <c r="B498" s="9"/>
      <c r="C498" s="9"/>
      <c r="D498" s="9"/>
      <c r="E498" s="9"/>
      <c r="F498" s="9"/>
      <c r="G498" s="9"/>
      <c r="H498" s="74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</row>
    <row r="499">
      <c r="A499" s="9"/>
      <c r="B499" s="9"/>
      <c r="C499" s="9"/>
      <c r="D499" s="9"/>
      <c r="E499" s="9"/>
      <c r="F499" s="9"/>
      <c r="G499" s="9"/>
      <c r="H499" s="74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</row>
    <row r="500">
      <c r="A500" s="9"/>
      <c r="B500" s="9"/>
      <c r="C500" s="9"/>
      <c r="D500" s="9"/>
      <c r="E500" s="9"/>
      <c r="F500" s="9"/>
      <c r="G500" s="9"/>
      <c r="H500" s="74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</row>
    <row r="501">
      <c r="A501" s="9"/>
      <c r="B501" s="9"/>
      <c r="C501" s="9"/>
      <c r="D501" s="9"/>
      <c r="E501" s="9"/>
      <c r="F501" s="9"/>
      <c r="G501" s="9"/>
      <c r="H501" s="74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</row>
    <row r="502">
      <c r="A502" s="9"/>
      <c r="B502" s="9"/>
      <c r="C502" s="9"/>
      <c r="D502" s="9"/>
      <c r="E502" s="9"/>
      <c r="F502" s="9"/>
      <c r="G502" s="9"/>
      <c r="H502" s="74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</row>
    <row r="503">
      <c r="A503" s="9"/>
      <c r="B503" s="9"/>
      <c r="C503" s="9"/>
      <c r="D503" s="9"/>
      <c r="E503" s="9"/>
      <c r="F503" s="9"/>
      <c r="G503" s="9"/>
      <c r="H503" s="74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</row>
    <row r="504">
      <c r="A504" s="9"/>
      <c r="B504" s="9"/>
      <c r="C504" s="9"/>
      <c r="D504" s="9"/>
      <c r="E504" s="9"/>
      <c r="F504" s="9"/>
      <c r="G504" s="9"/>
      <c r="H504" s="74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</row>
    <row r="505">
      <c r="A505" s="9"/>
      <c r="B505" s="9"/>
      <c r="C505" s="9"/>
      <c r="D505" s="9"/>
      <c r="E505" s="9"/>
      <c r="F505" s="9"/>
      <c r="G505" s="9"/>
      <c r="H505" s="74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</row>
    <row r="506">
      <c r="A506" s="9"/>
      <c r="B506" s="9"/>
      <c r="C506" s="9"/>
      <c r="D506" s="9"/>
      <c r="E506" s="9"/>
      <c r="F506" s="9"/>
      <c r="G506" s="9"/>
      <c r="H506" s="74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</row>
    <row r="507">
      <c r="A507" s="9"/>
      <c r="B507" s="9"/>
      <c r="C507" s="9"/>
      <c r="D507" s="9"/>
      <c r="E507" s="9"/>
      <c r="F507" s="9"/>
      <c r="G507" s="9"/>
      <c r="H507" s="74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</row>
    <row r="508">
      <c r="A508" s="9"/>
      <c r="B508" s="9"/>
      <c r="C508" s="9"/>
      <c r="D508" s="9"/>
      <c r="E508" s="9"/>
      <c r="F508" s="9"/>
      <c r="G508" s="9"/>
      <c r="H508" s="74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</row>
    <row r="509">
      <c r="A509" s="9"/>
      <c r="B509" s="9"/>
      <c r="C509" s="9"/>
      <c r="D509" s="9"/>
      <c r="E509" s="9"/>
      <c r="F509" s="9"/>
      <c r="G509" s="9"/>
      <c r="H509" s="74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</row>
    <row r="510">
      <c r="A510" s="9"/>
      <c r="B510" s="9"/>
      <c r="C510" s="9"/>
      <c r="D510" s="9"/>
      <c r="E510" s="9"/>
      <c r="F510" s="9"/>
      <c r="G510" s="9"/>
      <c r="H510" s="74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</row>
    <row r="511">
      <c r="A511" s="9"/>
      <c r="B511" s="9"/>
      <c r="C511" s="9"/>
      <c r="D511" s="9"/>
      <c r="E511" s="9"/>
      <c r="F511" s="9"/>
      <c r="G511" s="9"/>
      <c r="H511" s="74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</row>
    <row r="512">
      <c r="A512" s="9"/>
      <c r="B512" s="9"/>
      <c r="C512" s="9"/>
      <c r="D512" s="9"/>
      <c r="E512" s="9"/>
      <c r="F512" s="9"/>
      <c r="G512" s="9"/>
      <c r="H512" s="74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</row>
    <row r="513">
      <c r="A513" s="9"/>
      <c r="B513" s="9"/>
      <c r="C513" s="9"/>
      <c r="D513" s="9"/>
      <c r="E513" s="9"/>
      <c r="F513" s="9"/>
      <c r="G513" s="9"/>
      <c r="H513" s="74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</row>
    <row r="514">
      <c r="A514" s="9"/>
      <c r="B514" s="9"/>
      <c r="C514" s="9"/>
      <c r="D514" s="9"/>
      <c r="E514" s="9"/>
      <c r="F514" s="9"/>
      <c r="G514" s="9"/>
      <c r="H514" s="74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</row>
    <row r="515">
      <c r="A515" s="9"/>
      <c r="B515" s="9"/>
      <c r="C515" s="9"/>
      <c r="D515" s="9"/>
      <c r="E515" s="9"/>
      <c r="F515" s="9"/>
      <c r="G515" s="9"/>
      <c r="H515" s="74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</row>
    <row r="516">
      <c r="A516" s="9"/>
      <c r="B516" s="9"/>
      <c r="C516" s="9"/>
      <c r="D516" s="9"/>
      <c r="E516" s="9"/>
      <c r="F516" s="9"/>
      <c r="G516" s="9"/>
      <c r="H516" s="74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</row>
    <row r="517">
      <c r="A517" s="9"/>
      <c r="B517" s="9"/>
      <c r="C517" s="9"/>
      <c r="D517" s="9"/>
      <c r="E517" s="9"/>
      <c r="F517" s="9"/>
      <c r="G517" s="9"/>
      <c r="H517" s="74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</row>
    <row r="518">
      <c r="A518" s="9"/>
      <c r="B518" s="9"/>
      <c r="C518" s="9"/>
      <c r="D518" s="9"/>
      <c r="E518" s="9"/>
      <c r="F518" s="9"/>
      <c r="G518" s="9"/>
      <c r="H518" s="74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</row>
    <row r="519">
      <c r="A519" s="9"/>
      <c r="B519" s="9"/>
      <c r="C519" s="9"/>
      <c r="D519" s="9"/>
      <c r="E519" s="9"/>
      <c r="F519" s="9"/>
      <c r="G519" s="9"/>
      <c r="H519" s="74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</row>
    <row r="520">
      <c r="A520" s="9"/>
      <c r="B520" s="9"/>
      <c r="C520" s="9"/>
      <c r="D520" s="9"/>
      <c r="E520" s="9"/>
      <c r="F520" s="9"/>
      <c r="G520" s="9"/>
      <c r="H520" s="74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</row>
    <row r="521">
      <c r="A521" s="9"/>
      <c r="B521" s="9"/>
      <c r="C521" s="9"/>
      <c r="D521" s="9"/>
      <c r="E521" s="9"/>
      <c r="F521" s="9"/>
      <c r="G521" s="9"/>
      <c r="H521" s="74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</row>
    <row r="522">
      <c r="A522" s="9"/>
      <c r="B522" s="9"/>
      <c r="C522" s="9"/>
      <c r="D522" s="9"/>
      <c r="E522" s="9"/>
      <c r="F522" s="9"/>
      <c r="G522" s="9"/>
      <c r="H522" s="74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</row>
    <row r="523">
      <c r="A523" s="9"/>
      <c r="B523" s="9"/>
      <c r="C523" s="9"/>
      <c r="D523" s="9"/>
      <c r="E523" s="9"/>
      <c r="F523" s="9"/>
      <c r="G523" s="9"/>
      <c r="H523" s="74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</row>
    <row r="524">
      <c r="A524" s="9"/>
      <c r="B524" s="9"/>
      <c r="C524" s="9"/>
      <c r="D524" s="9"/>
      <c r="E524" s="9"/>
      <c r="F524" s="9"/>
      <c r="G524" s="9"/>
      <c r="H524" s="74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</row>
    <row r="525">
      <c r="A525" s="9"/>
      <c r="B525" s="9"/>
      <c r="C525" s="9"/>
      <c r="D525" s="9"/>
      <c r="E525" s="9"/>
      <c r="F525" s="9"/>
      <c r="G525" s="9"/>
      <c r="H525" s="74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</row>
    <row r="526">
      <c r="A526" s="9"/>
      <c r="B526" s="9"/>
      <c r="C526" s="9"/>
      <c r="D526" s="9"/>
      <c r="E526" s="9"/>
      <c r="F526" s="9"/>
      <c r="G526" s="9"/>
      <c r="H526" s="74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</row>
    <row r="527">
      <c r="A527" s="9"/>
      <c r="B527" s="9"/>
      <c r="C527" s="9"/>
      <c r="D527" s="9"/>
      <c r="E527" s="9"/>
      <c r="F527" s="9"/>
      <c r="G527" s="9"/>
      <c r="H527" s="74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</row>
    <row r="528">
      <c r="A528" s="9"/>
      <c r="B528" s="9"/>
      <c r="C528" s="9"/>
      <c r="D528" s="9"/>
      <c r="E528" s="9"/>
      <c r="F528" s="9"/>
      <c r="G528" s="9"/>
      <c r="H528" s="74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</row>
    <row r="529">
      <c r="A529" s="9"/>
      <c r="B529" s="9"/>
      <c r="C529" s="9"/>
      <c r="D529" s="9"/>
      <c r="E529" s="9"/>
      <c r="F529" s="9"/>
      <c r="G529" s="9"/>
      <c r="H529" s="74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</row>
    <row r="530">
      <c r="A530" s="9"/>
      <c r="B530" s="9"/>
      <c r="C530" s="9"/>
      <c r="D530" s="9"/>
      <c r="E530" s="9"/>
      <c r="F530" s="9"/>
      <c r="G530" s="9"/>
      <c r="H530" s="74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</row>
    <row r="531">
      <c r="A531" s="9"/>
      <c r="B531" s="9"/>
      <c r="C531" s="9"/>
      <c r="D531" s="9"/>
      <c r="E531" s="9"/>
      <c r="F531" s="9"/>
      <c r="G531" s="9"/>
      <c r="H531" s="74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</row>
    <row r="532">
      <c r="A532" s="9"/>
      <c r="B532" s="9"/>
      <c r="C532" s="9"/>
      <c r="D532" s="9"/>
      <c r="E532" s="9"/>
      <c r="F532" s="9"/>
      <c r="G532" s="9"/>
      <c r="H532" s="74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</row>
    <row r="533">
      <c r="A533" s="9"/>
      <c r="B533" s="9"/>
      <c r="C533" s="9"/>
      <c r="D533" s="9"/>
      <c r="E533" s="9"/>
      <c r="F533" s="9"/>
      <c r="G533" s="9"/>
      <c r="H533" s="74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</row>
    <row r="534">
      <c r="A534" s="9"/>
      <c r="B534" s="9"/>
      <c r="C534" s="9"/>
      <c r="D534" s="9"/>
      <c r="E534" s="9"/>
      <c r="F534" s="9"/>
      <c r="G534" s="9"/>
      <c r="H534" s="74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</row>
    <row r="535">
      <c r="A535" s="9"/>
      <c r="B535" s="9"/>
      <c r="C535" s="9"/>
      <c r="D535" s="9"/>
      <c r="E535" s="9"/>
      <c r="F535" s="9"/>
      <c r="G535" s="9"/>
      <c r="H535" s="74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</row>
    <row r="536">
      <c r="A536" s="9"/>
      <c r="B536" s="9"/>
      <c r="C536" s="9"/>
      <c r="D536" s="9"/>
      <c r="E536" s="9"/>
      <c r="F536" s="9"/>
      <c r="G536" s="9"/>
      <c r="H536" s="74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</row>
    <row r="537">
      <c r="A537" s="9"/>
      <c r="B537" s="9"/>
      <c r="C537" s="9"/>
      <c r="D537" s="9"/>
      <c r="E537" s="9"/>
      <c r="F537" s="9"/>
      <c r="G537" s="9"/>
      <c r="H537" s="74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</row>
    <row r="538">
      <c r="A538" s="9"/>
      <c r="B538" s="9"/>
      <c r="C538" s="9"/>
      <c r="D538" s="9"/>
      <c r="E538" s="9"/>
      <c r="F538" s="9"/>
      <c r="G538" s="9"/>
      <c r="H538" s="74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</row>
    <row r="539">
      <c r="A539" s="9"/>
      <c r="B539" s="9"/>
      <c r="C539" s="9"/>
      <c r="D539" s="9"/>
      <c r="E539" s="9"/>
      <c r="F539" s="9"/>
      <c r="G539" s="9"/>
      <c r="H539" s="74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</row>
    <row r="540">
      <c r="A540" s="9"/>
      <c r="B540" s="9"/>
      <c r="C540" s="9"/>
      <c r="D540" s="9"/>
      <c r="E540" s="9"/>
      <c r="F540" s="9"/>
      <c r="G540" s="9"/>
      <c r="H540" s="74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</row>
    <row r="541">
      <c r="A541" s="9"/>
      <c r="B541" s="9"/>
      <c r="C541" s="9"/>
      <c r="D541" s="9"/>
      <c r="E541" s="9"/>
      <c r="F541" s="9"/>
      <c r="G541" s="9"/>
      <c r="H541" s="74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</row>
    <row r="542">
      <c r="A542" s="9"/>
      <c r="B542" s="9"/>
      <c r="C542" s="9"/>
      <c r="D542" s="9"/>
      <c r="E542" s="9"/>
      <c r="F542" s="9"/>
      <c r="G542" s="9"/>
      <c r="H542" s="74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</row>
    <row r="543">
      <c r="A543" s="9"/>
      <c r="B543" s="9"/>
      <c r="C543" s="9"/>
      <c r="D543" s="9"/>
      <c r="E543" s="9"/>
      <c r="F543" s="9"/>
      <c r="G543" s="9"/>
      <c r="H543" s="74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</row>
    <row r="544">
      <c r="A544" s="9"/>
      <c r="B544" s="9"/>
      <c r="C544" s="9"/>
      <c r="D544" s="9"/>
      <c r="E544" s="9"/>
      <c r="F544" s="9"/>
      <c r="G544" s="9"/>
      <c r="H544" s="74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</row>
    <row r="545">
      <c r="A545" s="9"/>
      <c r="B545" s="9"/>
      <c r="C545" s="9"/>
      <c r="D545" s="9"/>
      <c r="E545" s="9"/>
      <c r="F545" s="9"/>
      <c r="G545" s="9"/>
      <c r="H545" s="74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</row>
    <row r="546">
      <c r="A546" s="9"/>
      <c r="B546" s="9"/>
      <c r="C546" s="9"/>
      <c r="D546" s="9"/>
      <c r="E546" s="9"/>
      <c r="F546" s="9"/>
      <c r="G546" s="9"/>
      <c r="H546" s="74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</row>
    <row r="547">
      <c r="A547" s="9"/>
      <c r="B547" s="9"/>
      <c r="C547" s="9"/>
      <c r="D547" s="9"/>
      <c r="E547" s="9"/>
      <c r="F547" s="9"/>
      <c r="G547" s="9"/>
      <c r="H547" s="74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</row>
    <row r="548">
      <c r="A548" s="9"/>
      <c r="B548" s="9"/>
      <c r="C548" s="9"/>
      <c r="D548" s="9"/>
      <c r="E548" s="9"/>
      <c r="F548" s="9"/>
      <c r="G548" s="9"/>
      <c r="H548" s="74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</row>
    <row r="549">
      <c r="A549" s="9"/>
      <c r="B549" s="9"/>
      <c r="C549" s="9"/>
      <c r="D549" s="9"/>
      <c r="E549" s="9"/>
      <c r="F549" s="9"/>
      <c r="G549" s="9"/>
      <c r="H549" s="74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</row>
    <row r="550">
      <c r="A550" s="9"/>
      <c r="B550" s="9"/>
      <c r="C550" s="9"/>
      <c r="D550" s="9"/>
      <c r="E550" s="9"/>
      <c r="F550" s="9"/>
      <c r="G550" s="9"/>
      <c r="H550" s="74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</row>
    <row r="551">
      <c r="A551" s="9"/>
      <c r="B551" s="9"/>
      <c r="C551" s="9"/>
      <c r="D551" s="9"/>
      <c r="E551" s="9"/>
      <c r="F551" s="9"/>
      <c r="G551" s="9"/>
      <c r="H551" s="74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</row>
    <row r="552">
      <c r="A552" s="9"/>
      <c r="B552" s="9"/>
      <c r="C552" s="9"/>
      <c r="D552" s="9"/>
      <c r="E552" s="9"/>
      <c r="F552" s="9"/>
      <c r="G552" s="9"/>
      <c r="H552" s="74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</row>
    <row r="553">
      <c r="A553" s="9"/>
      <c r="B553" s="9"/>
      <c r="C553" s="9"/>
      <c r="D553" s="9"/>
      <c r="E553" s="9"/>
      <c r="F553" s="9"/>
      <c r="G553" s="9"/>
      <c r="H553" s="74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</row>
    <row r="554">
      <c r="A554" s="9"/>
      <c r="B554" s="9"/>
      <c r="C554" s="9"/>
      <c r="D554" s="9"/>
      <c r="E554" s="9"/>
      <c r="F554" s="9"/>
      <c r="G554" s="9"/>
      <c r="H554" s="74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</row>
    <row r="555">
      <c r="A555" s="9"/>
      <c r="B555" s="9"/>
      <c r="C555" s="9"/>
      <c r="D555" s="9"/>
      <c r="E555" s="9"/>
      <c r="F555" s="9"/>
      <c r="G555" s="9"/>
      <c r="H555" s="74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</row>
    <row r="556">
      <c r="A556" s="9"/>
      <c r="B556" s="9"/>
      <c r="C556" s="9"/>
      <c r="D556" s="9"/>
      <c r="E556" s="9"/>
      <c r="F556" s="9"/>
      <c r="G556" s="9"/>
      <c r="H556" s="74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</row>
    <row r="557">
      <c r="A557" s="9"/>
      <c r="B557" s="9"/>
      <c r="C557" s="9"/>
      <c r="D557" s="9"/>
      <c r="E557" s="9"/>
      <c r="F557" s="9"/>
      <c r="G557" s="9"/>
      <c r="H557" s="74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</row>
    <row r="558">
      <c r="A558" s="9"/>
      <c r="B558" s="9"/>
      <c r="C558" s="9"/>
      <c r="D558" s="9"/>
      <c r="E558" s="9"/>
      <c r="F558" s="9"/>
      <c r="G558" s="9"/>
      <c r="H558" s="74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</row>
    <row r="559">
      <c r="A559" s="9"/>
      <c r="B559" s="9"/>
      <c r="C559" s="9"/>
      <c r="D559" s="9"/>
      <c r="E559" s="9"/>
      <c r="F559" s="9"/>
      <c r="G559" s="9"/>
      <c r="H559" s="74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</row>
    <row r="560">
      <c r="A560" s="9"/>
      <c r="B560" s="9"/>
      <c r="C560" s="9"/>
      <c r="D560" s="9"/>
      <c r="E560" s="9"/>
      <c r="F560" s="9"/>
      <c r="G560" s="9"/>
      <c r="H560" s="74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</row>
    <row r="561">
      <c r="A561" s="9"/>
      <c r="B561" s="9"/>
      <c r="C561" s="9"/>
      <c r="D561" s="9"/>
      <c r="E561" s="9"/>
      <c r="F561" s="9"/>
      <c r="G561" s="9"/>
      <c r="H561" s="74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</row>
    <row r="562">
      <c r="A562" s="9"/>
      <c r="B562" s="9"/>
      <c r="C562" s="9"/>
      <c r="D562" s="9"/>
      <c r="E562" s="9"/>
      <c r="F562" s="9"/>
      <c r="G562" s="9"/>
      <c r="H562" s="74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</row>
    <row r="563">
      <c r="A563" s="9"/>
      <c r="B563" s="9"/>
      <c r="C563" s="9"/>
      <c r="D563" s="9"/>
      <c r="E563" s="9"/>
      <c r="F563" s="9"/>
      <c r="G563" s="9"/>
      <c r="H563" s="74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</row>
    <row r="564">
      <c r="A564" s="9"/>
      <c r="B564" s="9"/>
      <c r="C564" s="9"/>
      <c r="D564" s="9"/>
      <c r="E564" s="9"/>
      <c r="F564" s="9"/>
      <c r="G564" s="9"/>
      <c r="H564" s="74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</row>
    <row r="565">
      <c r="A565" s="9"/>
      <c r="B565" s="9"/>
      <c r="C565" s="9"/>
      <c r="D565" s="9"/>
      <c r="E565" s="9"/>
      <c r="F565" s="9"/>
      <c r="G565" s="9"/>
      <c r="H565" s="74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</row>
    <row r="566">
      <c r="A566" s="9"/>
      <c r="B566" s="9"/>
      <c r="C566" s="9"/>
      <c r="D566" s="9"/>
      <c r="E566" s="9"/>
      <c r="F566" s="9"/>
      <c r="G566" s="9"/>
      <c r="H566" s="74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</row>
    <row r="567">
      <c r="A567" s="9"/>
      <c r="B567" s="9"/>
      <c r="C567" s="9"/>
      <c r="D567" s="9"/>
      <c r="E567" s="9"/>
      <c r="F567" s="9"/>
      <c r="G567" s="9"/>
      <c r="H567" s="74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</row>
    <row r="568">
      <c r="A568" s="9"/>
      <c r="B568" s="9"/>
      <c r="C568" s="9"/>
      <c r="D568" s="9"/>
      <c r="E568" s="9"/>
      <c r="F568" s="9"/>
      <c r="G568" s="9"/>
      <c r="H568" s="74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</row>
    <row r="569">
      <c r="A569" s="9"/>
      <c r="B569" s="9"/>
      <c r="C569" s="9"/>
      <c r="D569" s="9"/>
      <c r="E569" s="9"/>
      <c r="F569" s="9"/>
      <c r="G569" s="9"/>
      <c r="H569" s="74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</row>
    <row r="570">
      <c r="A570" s="9"/>
      <c r="B570" s="9"/>
      <c r="C570" s="9"/>
      <c r="D570" s="9"/>
      <c r="E570" s="9"/>
      <c r="F570" s="9"/>
      <c r="G570" s="9"/>
      <c r="H570" s="74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</row>
    <row r="571">
      <c r="A571" s="9"/>
      <c r="B571" s="9"/>
      <c r="C571" s="9"/>
      <c r="D571" s="9"/>
      <c r="E571" s="9"/>
      <c r="F571" s="9"/>
      <c r="G571" s="9"/>
      <c r="H571" s="74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</row>
    <row r="572">
      <c r="A572" s="9"/>
      <c r="B572" s="9"/>
      <c r="C572" s="9"/>
      <c r="D572" s="9"/>
      <c r="E572" s="9"/>
      <c r="F572" s="9"/>
      <c r="G572" s="9"/>
      <c r="H572" s="74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</row>
    <row r="573">
      <c r="A573" s="9"/>
      <c r="B573" s="9"/>
      <c r="C573" s="9"/>
      <c r="D573" s="9"/>
      <c r="E573" s="9"/>
      <c r="F573" s="9"/>
      <c r="G573" s="9"/>
      <c r="H573" s="74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</row>
    <row r="574">
      <c r="A574" s="9"/>
      <c r="B574" s="9"/>
      <c r="C574" s="9"/>
      <c r="D574" s="9"/>
      <c r="E574" s="9"/>
      <c r="F574" s="9"/>
      <c r="G574" s="9"/>
      <c r="H574" s="74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</row>
    <row r="575">
      <c r="A575" s="9"/>
      <c r="B575" s="9"/>
      <c r="C575" s="9"/>
      <c r="D575" s="9"/>
      <c r="E575" s="9"/>
      <c r="F575" s="9"/>
      <c r="G575" s="9"/>
      <c r="H575" s="74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</row>
    <row r="576">
      <c r="A576" s="9"/>
      <c r="B576" s="9"/>
      <c r="C576" s="9"/>
      <c r="D576" s="9"/>
      <c r="E576" s="9"/>
      <c r="F576" s="9"/>
      <c r="G576" s="9"/>
      <c r="H576" s="74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</row>
    <row r="577">
      <c r="A577" s="9"/>
      <c r="B577" s="9"/>
      <c r="C577" s="9"/>
      <c r="D577" s="9"/>
      <c r="E577" s="9"/>
      <c r="F577" s="9"/>
      <c r="G577" s="9"/>
      <c r="H577" s="74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</row>
    <row r="578">
      <c r="A578" s="9"/>
      <c r="B578" s="9"/>
      <c r="C578" s="9"/>
      <c r="D578" s="9"/>
      <c r="E578" s="9"/>
      <c r="F578" s="9"/>
      <c r="G578" s="9"/>
      <c r="H578" s="74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</row>
    <row r="579">
      <c r="A579" s="9"/>
      <c r="B579" s="9"/>
      <c r="C579" s="9"/>
      <c r="D579" s="9"/>
      <c r="E579" s="9"/>
      <c r="F579" s="9"/>
      <c r="G579" s="9"/>
      <c r="H579" s="74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</row>
    <row r="580">
      <c r="A580" s="9"/>
      <c r="B580" s="9"/>
      <c r="C580" s="9"/>
      <c r="D580" s="9"/>
      <c r="E580" s="9"/>
      <c r="F580" s="9"/>
      <c r="G580" s="9"/>
      <c r="H580" s="74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</row>
    <row r="581">
      <c r="A581" s="9"/>
      <c r="B581" s="9"/>
      <c r="C581" s="9"/>
      <c r="D581" s="9"/>
      <c r="E581" s="9"/>
      <c r="F581" s="9"/>
      <c r="G581" s="9"/>
      <c r="H581" s="74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</row>
    <row r="582">
      <c r="A582" s="9"/>
      <c r="B582" s="9"/>
      <c r="C582" s="9"/>
      <c r="D582" s="9"/>
      <c r="E582" s="9"/>
      <c r="F582" s="9"/>
      <c r="G582" s="9"/>
      <c r="H582" s="74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</row>
    <row r="583">
      <c r="A583" s="9"/>
      <c r="B583" s="9"/>
      <c r="C583" s="9"/>
      <c r="D583" s="9"/>
      <c r="E583" s="9"/>
      <c r="F583" s="9"/>
      <c r="G583" s="9"/>
      <c r="H583" s="74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</row>
    <row r="584">
      <c r="A584" s="9"/>
      <c r="B584" s="9"/>
      <c r="C584" s="9"/>
      <c r="D584" s="9"/>
      <c r="E584" s="9"/>
      <c r="F584" s="9"/>
      <c r="G584" s="9"/>
      <c r="H584" s="74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</row>
    <row r="585">
      <c r="A585" s="9"/>
      <c r="B585" s="9"/>
      <c r="C585" s="9"/>
      <c r="D585" s="9"/>
      <c r="E585" s="9"/>
      <c r="F585" s="9"/>
      <c r="G585" s="9"/>
      <c r="H585" s="74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</row>
    <row r="586">
      <c r="A586" s="9"/>
      <c r="B586" s="9"/>
      <c r="C586" s="9"/>
      <c r="D586" s="9"/>
      <c r="E586" s="9"/>
      <c r="F586" s="9"/>
      <c r="G586" s="9"/>
      <c r="H586" s="74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</row>
    <row r="587">
      <c r="A587" s="9"/>
      <c r="B587" s="9"/>
      <c r="C587" s="9"/>
      <c r="D587" s="9"/>
      <c r="E587" s="9"/>
      <c r="F587" s="9"/>
      <c r="G587" s="9"/>
      <c r="H587" s="74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</row>
    <row r="588">
      <c r="A588" s="9"/>
      <c r="B588" s="9"/>
      <c r="C588" s="9"/>
      <c r="D588" s="9"/>
      <c r="E588" s="9"/>
      <c r="F588" s="9"/>
      <c r="G588" s="9"/>
      <c r="H588" s="74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</row>
    <row r="589">
      <c r="A589" s="9"/>
      <c r="B589" s="9"/>
      <c r="C589" s="9"/>
      <c r="D589" s="9"/>
      <c r="E589" s="9"/>
      <c r="F589" s="9"/>
      <c r="G589" s="9"/>
      <c r="H589" s="74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</row>
    <row r="590">
      <c r="A590" s="9"/>
      <c r="B590" s="9"/>
      <c r="C590" s="9"/>
      <c r="D590" s="9"/>
      <c r="E590" s="9"/>
      <c r="F590" s="9"/>
      <c r="G590" s="9"/>
      <c r="H590" s="74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</row>
    <row r="591">
      <c r="A591" s="9"/>
      <c r="B591" s="9"/>
      <c r="C591" s="9"/>
      <c r="D591" s="9"/>
      <c r="E591" s="9"/>
      <c r="F591" s="9"/>
      <c r="G591" s="9"/>
      <c r="H591" s="74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</row>
    <row r="592">
      <c r="A592" s="9"/>
      <c r="B592" s="9"/>
      <c r="C592" s="9"/>
      <c r="D592" s="9"/>
      <c r="E592" s="9"/>
      <c r="F592" s="9"/>
      <c r="G592" s="9"/>
      <c r="H592" s="74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</row>
    <row r="593">
      <c r="A593" s="9"/>
      <c r="B593" s="9"/>
      <c r="C593" s="9"/>
      <c r="D593" s="9"/>
      <c r="E593" s="9"/>
      <c r="F593" s="9"/>
      <c r="G593" s="9"/>
      <c r="H593" s="74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</row>
    <row r="594">
      <c r="A594" s="9"/>
      <c r="B594" s="9"/>
      <c r="C594" s="9"/>
      <c r="D594" s="9"/>
      <c r="E594" s="9"/>
      <c r="F594" s="9"/>
      <c r="G594" s="9"/>
      <c r="H594" s="74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</row>
    <row r="595">
      <c r="A595" s="9"/>
      <c r="B595" s="9"/>
      <c r="C595" s="9"/>
      <c r="D595" s="9"/>
      <c r="E595" s="9"/>
      <c r="F595" s="9"/>
      <c r="G595" s="9"/>
      <c r="H595" s="74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</row>
    <row r="596">
      <c r="A596" s="9"/>
      <c r="B596" s="9"/>
      <c r="C596" s="9"/>
      <c r="D596" s="9"/>
      <c r="E596" s="9"/>
      <c r="F596" s="9"/>
      <c r="G596" s="9"/>
      <c r="H596" s="74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</row>
    <row r="597">
      <c r="A597" s="9"/>
      <c r="B597" s="9"/>
      <c r="C597" s="9"/>
      <c r="D597" s="9"/>
      <c r="E597" s="9"/>
      <c r="F597" s="9"/>
      <c r="G597" s="9"/>
      <c r="H597" s="74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</row>
    <row r="598">
      <c r="A598" s="9"/>
      <c r="B598" s="9"/>
      <c r="C598" s="9"/>
      <c r="D598" s="9"/>
      <c r="E598" s="9"/>
      <c r="F598" s="9"/>
      <c r="G598" s="9"/>
      <c r="H598" s="74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</row>
    <row r="599">
      <c r="A599" s="9"/>
      <c r="B599" s="9"/>
      <c r="C599" s="9"/>
      <c r="D599" s="9"/>
      <c r="E599" s="9"/>
      <c r="F599" s="9"/>
      <c r="G599" s="9"/>
      <c r="H599" s="74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</row>
    <row r="600">
      <c r="A600" s="9"/>
      <c r="B600" s="9"/>
      <c r="C600" s="9"/>
      <c r="D600" s="9"/>
      <c r="E600" s="9"/>
      <c r="F600" s="9"/>
      <c r="G600" s="9"/>
      <c r="H600" s="74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</row>
    <row r="601">
      <c r="A601" s="9"/>
      <c r="B601" s="9"/>
      <c r="C601" s="9"/>
      <c r="D601" s="9"/>
      <c r="E601" s="9"/>
      <c r="F601" s="9"/>
      <c r="G601" s="9"/>
      <c r="H601" s="74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</row>
    <row r="602">
      <c r="A602" s="9"/>
      <c r="B602" s="9"/>
      <c r="C602" s="9"/>
      <c r="D602" s="9"/>
      <c r="E602" s="9"/>
      <c r="F602" s="9"/>
      <c r="G602" s="9"/>
      <c r="H602" s="74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</row>
    <row r="603">
      <c r="A603" s="9"/>
      <c r="B603" s="9"/>
      <c r="C603" s="9"/>
      <c r="D603" s="9"/>
      <c r="E603" s="9"/>
      <c r="F603" s="9"/>
      <c r="G603" s="9"/>
      <c r="H603" s="74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</row>
    <row r="604">
      <c r="A604" s="9"/>
      <c r="B604" s="9"/>
      <c r="C604" s="9"/>
      <c r="D604" s="9"/>
      <c r="E604" s="9"/>
      <c r="F604" s="9"/>
      <c r="G604" s="9"/>
      <c r="H604" s="74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</row>
    <row r="605">
      <c r="A605" s="9"/>
      <c r="B605" s="9"/>
      <c r="C605" s="9"/>
      <c r="D605" s="9"/>
      <c r="E605" s="9"/>
      <c r="F605" s="9"/>
      <c r="G605" s="9"/>
      <c r="H605" s="74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</row>
    <row r="606">
      <c r="A606" s="9"/>
      <c r="B606" s="9"/>
      <c r="C606" s="9"/>
      <c r="D606" s="9"/>
      <c r="E606" s="9"/>
      <c r="F606" s="9"/>
      <c r="G606" s="9"/>
      <c r="H606" s="74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</row>
    <row r="607">
      <c r="A607" s="9"/>
      <c r="B607" s="9"/>
      <c r="C607" s="9"/>
      <c r="D607" s="9"/>
      <c r="E607" s="9"/>
      <c r="F607" s="9"/>
      <c r="G607" s="9"/>
      <c r="H607" s="74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</row>
    <row r="608">
      <c r="A608" s="9"/>
      <c r="B608" s="9"/>
      <c r="C608" s="9"/>
      <c r="D608" s="9"/>
      <c r="E608" s="9"/>
      <c r="F608" s="9"/>
      <c r="G608" s="9"/>
      <c r="H608" s="74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</row>
    <row r="609">
      <c r="A609" s="9"/>
      <c r="B609" s="9"/>
      <c r="C609" s="9"/>
      <c r="D609" s="9"/>
      <c r="E609" s="9"/>
      <c r="F609" s="9"/>
      <c r="G609" s="9"/>
      <c r="H609" s="74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</row>
    <row r="610">
      <c r="A610" s="9"/>
      <c r="B610" s="9"/>
      <c r="C610" s="9"/>
      <c r="D610" s="9"/>
      <c r="E610" s="9"/>
      <c r="F610" s="9"/>
      <c r="G610" s="9"/>
      <c r="H610" s="74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</row>
    <row r="611">
      <c r="A611" s="9"/>
      <c r="B611" s="9"/>
      <c r="C611" s="9"/>
      <c r="D611" s="9"/>
      <c r="E611" s="9"/>
      <c r="F611" s="9"/>
      <c r="G611" s="9"/>
      <c r="H611" s="74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</row>
    <row r="612">
      <c r="A612" s="9"/>
      <c r="B612" s="9"/>
      <c r="C612" s="9"/>
      <c r="D612" s="9"/>
      <c r="E612" s="9"/>
      <c r="F612" s="9"/>
      <c r="G612" s="9"/>
      <c r="H612" s="74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</row>
    <row r="613">
      <c r="A613" s="9"/>
      <c r="B613" s="9"/>
      <c r="C613" s="9"/>
      <c r="D613" s="9"/>
      <c r="E613" s="9"/>
      <c r="F613" s="9"/>
      <c r="G613" s="9"/>
      <c r="H613" s="74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</row>
    <row r="614">
      <c r="A614" s="9"/>
      <c r="B614" s="9"/>
      <c r="C614" s="9"/>
      <c r="D614" s="9"/>
      <c r="E614" s="9"/>
      <c r="F614" s="9"/>
      <c r="G614" s="9"/>
      <c r="H614" s="74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</row>
    <row r="615">
      <c r="A615" s="9"/>
      <c r="B615" s="9"/>
      <c r="C615" s="9"/>
      <c r="D615" s="9"/>
      <c r="E615" s="9"/>
      <c r="F615" s="9"/>
      <c r="G615" s="9"/>
      <c r="H615" s="74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</row>
    <row r="616">
      <c r="A616" s="9"/>
      <c r="B616" s="9"/>
      <c r="C616" s="9"/>
      <c r="D616" s="9"/>
      <c r="E616" s="9"/>
      <c r="F616" s="9"/>
      <c r="G616" s="9"/>
      <c r="H616" s="74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</row>
    <row r="617">
      <c r="A617" s="9"/>
      <c r="B617" s="9"/>
      <c r="C617" s="9"/>
      <c r="D617" s="9"/>
      <c r="E617" s="9"/>
      <c r="F617" s="9"/>
      <c r="G617" s="9"/>
      <c r="H617" s="74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</row>
    <row r="618">
      <c r="A618" s="9"/>
      <c r="B618" s="9"/>
      <c r="C618" s="9"/>
      <c r="D618" s="9"/>
      <c r="E618" s="9"/>
      <c r="F618" s="9"/>
      <c r="G618" s="9"/>
      <c r="H618" s="74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</row>
    <row r="619">
      <c r="A619" s="9"/>
      <c r="B619" s="9"/>
      <c r="C619" s="9"/>
      <c r="D619" s="9"/>
      <c r="E619" s="9"/>
      <c r="F619" s="9"/>
      <c r="G619" s="9"/>
      <c r="H619" s="74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</row>
    <row r="620">
      <c r="A620" s="9"/>
      <c r="B620" s="9"/>
      <c r="C620" s="9"/>
      <c r="D620" s="9"/>
      <c r="E620" s="9"/>
      <c r="F620" s="9"/>
      <c r="G620" s="9"/>
      <c r="H620" s="74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</row>
    <row r="621">
      <c r="A621" s="9"/>
      <c r="B621" s="9"/>
      <c r="C621" s="9"/>
      <c r="D621" s="9"/>
      <c r="E621" s="9"/>
      <c r="F621" s="9"/>
      <c r="G621" s="9"/>
      <c r="H621" s="74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</row>
    <row r="622">
      <c r="A622" s="9"/>
      <c r="B622" s="9"/>
      <c r="C622" s="9"/>
      <c r="D622" s="9"/>
      <c r="E622" s="9"/>
      <c r="F622" s="9"/>
      <c r="G622" s="9"/>
      <c r="H622" s="74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</row>
    <row r="623">
      <c r="A623" s="9"/>
      <c r="B623" s="9"/>
      <c r="C623" s="9"/>
      <c r="D623" s="9"/>
      <c r="E623" s="9"/>
      <c r="F623" s="9"/>
      <c r="G623" s="9"/>
      <c r="H623" s="74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</row>
    <row r="624">
      <c r="A624" s="9"/>
      <c r="B624" s="9"/>
      <c r="C624" s="9"/>
      <c r="D624" s="9"/>
      <c r="E624" s="9"/>
      <c r="F624" s="9"/>
      <c r="G624" s="9"/>
      <c r="H624" s="74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</row>
    <row r="625">
      <c r="A625" s="9"/>
      <c r="B625" s="9"/>
      <c r="C625" s="9"/>
      <c r="D625" s="9"/>
      <c r="E625" s="9"/>
      <c r="F625" s="9"/>
      <c r="G625" s="9"/>
      <c r="H625" s="74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</row>
    <row r="626">
      <c r="A626" s="9"/>
      <c r="B626" s="9"/>
      <c r="C626" s="9"/>
      <c r="D626" s="9"/>
      <c r="E626" s="9"/>
      <c r="F626" s="9"/>
      <c r="G626" s="9"/>
      <c r="H626" s="74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</row>
    <row r="627">
      <c r="A627" s="9"/>
      <c r="B627" s="9"/>
      <c r="C627" s="9"/>
      <c r="D627" s="9"/>
      <c r="E627" s="9"/>
      <c r="F627" s="9"/>
      <c r="G627" s="9"/>
      <c r="H627" s="74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</row>
    <row r="628">
      <c r="A628" s="9"/>
      <c r="B628" s="9"/>
      <c r="C628" s="9"/>
      <c r="D628" s="9"/>
      <c r="E628" s="9"/>
      <c r="F628" s="9"/>
      <c r="G628" s="9"/>
      <c r="H628" s="74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</row>
    <row r="629">
      <c r="A629" s="9"/>
      <c r="B629" s="9"/>
      <c r="C629" s="9"/>
      <c r="D629" s="9"/>
      <c r="E629" s="9"/>
      <c r="F629" s="9"/>
      <c r="G629" s="9"/>
      <c r="H629" s="74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</row>
    <row r="630">
      <c r="A630" s="9"/>
      <c r="B630" s="9"/>
      <c r="C630" s="9"/>
      <c r="D630" s="9"/>
      <c r="E630" s="9"/>
      <c r="F630" s="9"/>
      <c r="G630" s="9"/>
      <c r="H630" s="74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</row>
    <row r="631">
      <c r="A631" s="9"/>
      <c r="B631" s="9"/>
      <c r="C631" s="9"/>
      <c r="D631" s="9"/>
      <c r="E631" s="9"/>
      <c r="F631" s="9"/>
      <c r="G631" s="9"/>
      <c r="H631" s="74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</row>
    <row r="632">
      <c r="A632" s="9"/>
      <c r="B632" s="9"/>
      <c r="C632" s="9"/>
      <c r="D632" s="9"/>
      <c r="E632" s="9"/>
      <c r="F632" s="9"/>
      <c r="G632" s="9"/>
      <c r="H632" s="74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</row>
    <row r="633">
      <c r="A633" s="9"/>
      <c r="B633" s="9"/>
      <c r="C633" s="9"/>
      <c r="D633" s="9"/>
      <c r="E633" s="9"/>
      <c r="F633" s="9"/>
      <c r="G633" s="9"/>
      <c r="H633" s="74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</row>
    <row r="634">
      <c r="A634" s="9"/>
      <c r="B634" s="9"/>
      <c r="C634" s="9"/>
      <c r="D634" s="9"/>
      <c r="E634" s="9"/>
      <c r="F634" s="9"/>
      <c r="G634" s="9"/>
      <c r="H634" s="74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</row>
    <row r="635">
      <c r="A635" s="9"/>
      <c r="B635" s="9"/>
      <c r="C635" s="9"/>
      <c r="D635" s="9"/>
      <c r="E635" s="9"/>
      <c r="F635" s="9"/>
      <c r="G635" s="9"/>
      <c r="H635" s="74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</row>
    <row r="636">
      <c r="A636" s="9"/>
      <c r="B636" s="9"/>
      <c r="C636" s="9"/>
      <c r="D636" s="9"/>
      <c r="E636" s="9"/>
      <c r="F636" s="9"/>
      <c r="G636" s="9"/>
      <c r="H636" s="74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</row>
    <row r="637">
      <c r="A637" s="9"/>
      <c r="B637" s="9"/>
      <c r="C637" s="9"/>
      <c r="D637" s="9"/>
      <c r="E637" s="9"/>
      <c r="F637" s="9"/>
      <c r="G637" s="9"/>
      <c r="H637" s="74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</row>
    <row r="638">
      <c r="A638" s="9"/>
      <c r="B638" s="9"/>
      <c r="C638" s="9"/>
      <c r="D638" s="9"/>
      <c r="E638" s="9"/>
      <c r="F638" s="9"/>
      <c r="G638" s="9"/>
      <c r="H638" s="74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</row>
    <row r="639">
      <c r="A639" s="9"/>
      <c r="B639" s="9"/>
      <c r="C639" s="9"/>
      <c r="D639" s="9"/>
      <c r="E639" s="9"/>
      <c r="F639" s="9"/>
      <c r="G639" s="9"/>
      <c r="H639" s="74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</row>
    <row r="640">
      <c r="A640" s="9"/>
      <c r="B640" s="9"/>
      <c r="C640" s="9"/>
      <c r="D640" s="9"/>
      <c r="E640" s="9"/>
      <c r="F640" s="9"/>
      <c r="G640" s="9"/>
      <c r="H640" s="74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</row>
    <row r="641">
      <c r="A641" s="9"/>
      <c r="B641" s="9"/>
      <c r="C641" s="9"/>
      <c r="D641" s="9"/>
      <c r="E641" s="9"/>
      <c r="F641" s="9"/>
      <c r="G641" s="9"/>
      <c r="H641" s="74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</row>
    <row r="642">
      <c r="A642" s="9"/>
      <c r="B642" s="9"/>
      <c r="C642" s="9"/>
      <c r="D642" s="9"/>
      <c r="E642" s="9"/>
      <c r="F642" s="9"/>
      <c r="G642" s="9"/>
      <c r="H642" s="74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</row>
    <row r="643">
      <c r="A643" s="9"/>
      <c r="B643" s="9"/>
      <c r="C643" s="9"/>
      <c r="D643" s="9"/>
      <c r="E643" s="9"/>
      <c r="F643" s="9"/>
      <c r="G643" s="9"/>
      <c r="H643" s="74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</row>
    <row r="644">
      <c r="A644" s="9"/>
      <c r="B644" s="9"/>
      <c r="C644" s="9"/>
      <c r="D644" s="9"/>
      <c r="E644" s="9"/>
      <c r="F644" s="9"/>
      <c r="G644" s="9"/>
      <c r="H644" s="74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</row>
    <row r="645">
      <c r="A645" s="9"/>
      <c r="B645" s="9"/>
      <c r="C645" s="9"/>
      <c r="D645" s="9"/>
      <c r="E645" s="9"/>
      <c r="F645" s="9"/>
      <c r="G645" s="9"/>
      <c r="H645" s="74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</row>
    <row r="646">
      <c r="A646" s="9"/>
      <c r="B646" s="9"/>
      <c r="C646" s="9"/>
      <c r="D646" s="9"/>
      <c r="E646" s="9"/>
      <c r="F646" s="9"/>
      <c r="G646" s="9"/>
      <c r="H646" s="74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</row>
    <row r="647">
      <c r="A647" s="9"/>
      <c r="B647" s="9"/>
      <c r="C647" s="9"/>
      <c r="D647" s="9"/>
      <c r="E647" s="9"/>
      <c r="F647" s="9"/>
      <c r="G647" s="9"/>
      <c r="H647" s="74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</row>
    <row r="648">
      <c r="A648" s="9"/>
      <c r="B648" s="9"/>
      <c r="C648" s="9"/>
      <c r="D648" s="9"/>
      <c r="E648" s="9"/>
      <c r="F648" s="9"/>
      <c r="G648" s="9"/>
      <c r="H648" s="74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</row>
    <row r="649">
      <c r="A649" s="9"/>
      <c r="B649" s="9"/>
      <c r="C649" s="9"/>
      <c r="D649" s="9"/>
      <c r="E649" s="9"/>
      <c r="F649" s="9"/>
      <c r="G649" s="9"/>
      <c r="H649" s="74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</row>
    <row r="650">
      <c r="A650" s="9"/>
      <c r="B650" s="9"/>
      <c r="C650" s="9"/>
      <c r="D650" s="9"/>
      <c r="E650" s="9"/>
      <c r="F650" s="9"/>
      <c r="G650" s="9"/>
      <c r="H650" s="74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</row>
    <row r="651">
      <c r="A651" s="9"/>
      <c r="B651" s="9"/>
      <c r="C651" s="9"/>
      <c r="D651" s="9"/>
      <c r="E651" s="9"/>
      <c r="F651" s="9"/>
      <c r="G651" s="9"/>
      <c r="H651" s="74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</row>
    <row r="652">
      <c r="A652" s="9"/>
      <c r="B652" s="9"/>
      <c r="C652" s="9"/>
      <c r="D652" s="9"/>
      <c r="E652" s="9"/>
      <c r="F652" s="9"/>
      <c r="G652" s="9"/>
      <c r="H652" s="74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</row>
    <row r="653">
      <c r="A653" s="9"/>
      <c r="B653" s="9"/>
      <c r="C653" s="9"/>
      <c r="D653" s="9"/>
      <c r="E653" s="9"/>
      <c r="F653" s="9"/>
      <c r="G653" s="9"/>
      <c r="H653" s="74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</row>
    <row r="654">
      <c r="A654" s="9"/>
      <c r="B654" s="9"/>
      <c r="C654" s="9"/>
      <c r="D654" s="9"/>
      <c r="E654" s="9"/>
      <c r="F654" s="9"/>
      <c r="G654" s="9"/>
      <c r="H654" s="74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</row>
    <row r="655">
      <c r="A655" s="9"/>
      <c r="B655" s="9"/>
      <c r="C655" s="9"/>
      <c r="D655" s="9"/>
      <c r="E655" s="9"/>
      <c r="F655" s="9"/>
      <c r="G655" s="9"/>
      <c r="H655" s="74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</row>
    <row r="656">
      <c r="A656" s="9"/>
      <c r="B656" s="9"/>
      <c r="C656" s="9"/>
      <c r="D656" s="9"/>
      <c r="E656" s="9"/>
      <c r="F656" s="9"/>
      <c r="G656" s="9"/>
      <c r="H656" s="74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</row>
    <row r="657">
      <c r="A657" s="9"/>
      <c r="B657" s="9"/>
      <c r="C657" s="9"/>
      <c r="D657" s="9"/>
      <c r="E657" s="9"/>
      <c r="F657" s="9"/>
      <c r="G657" s="9"/>
      <c r="H657" s="74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</row>
    <row r="658">
      <c r="A658" s="9"/>
      <c r="B658" s="9"/>
      <c r="C658" s="9"/>
      <c r="D658" s="9"/>
      <c r="E658" s="9"/>
      <c r="F658" s="9"/>
      <c r="G658" s="9"/>
      <c r="H658" s="74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</row>
    <row r="659">
      <c r="A659" s="9"/>
      <c r="B659" s="9"/>
      <c r="C659" s="9"/>
      <c r="D659" s="9"/>
      <c r="E659" s="9"/>
      <c r="F659" s="9"/>
      <c r="G659" s="9"/>
      <c r="H659" s="74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</row>
    <row r="660">
      <c r="A660" s="9"/>
      <c r="B660" s="9"/>
      <c r="C660" s="9"/>
      <c r="D660" s="9"/>
      <c r="E660" s="9"/>
      <c r="F660" s="9"/>
      <c r="G660" s="9"/>
      <c r="H660" s="74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</row>
    <row r="661">
      <c r="A661" s="9"/>
      <c r="B661" s="9"/>
      <c r="C661" s="9"/>
      <c r="D661" s="9"/>
      <c r="E661" s="9"/>
      <c r="F661" s="9"/>
      <c r="G661" s="9"/>
      <c r="H661" s="74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</row>
    <row r="662">
      <c r="A662" s="9"/>
      <c r="B662" s="9"/>
      <c r="C662" s="9"/>
      <c r="D662" s="9"/>
      <c r="E662" s="9"/>
      <c r="F662" s="9"/>
      <c r="G662" s="9"/>
      <c r="H662" s="74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</row>
    <row r="663">
      <c r="A663" s="9"/>
      <c r="B663" s="9"/>
      <c r="C663" s="9"/>
      <c r="D663" s="9"/>
      <c r="E663" s="9"/>
      <c r="F663" s="9"/>
      <c r="G663" s="9"/>
      <c r="H663" s="74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</row>
    <row r="664">
      <c r="A664" s="9"/>
      <c r="B664" s="9"/>
      <c r="C664" s="9"/>
      <c r="D664" s="9"/>
      <c r="E664" s="9"/>
      <c r="F664" s="9"/>
      <c r="G664" s="9"/>
      <c r="H664" s="74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</row>
    <row r="665">
      <c r="A665" s="9"/>
      <c r="B665" s="9"/>
      <c r="C665" s="9"/>
      <c r="D665" s="9"/>
      <c r="E665" s="9"/>
      <c r="F665" s="9"/>
      <c r="G665" s="9"/>
      <c r="H665" s="74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</row>
    <row r="666">
      <c r="A666" s="9"/>
      <c r="B666" s="9"/>
      <c r="C666" s="9"/>
      <c r="D666" s="9"/>
      <c r="E666" s="9"/>
      <c r="F666" s="9"/>
      <c r="G666" s="9"/>
      <c r="H666" s="74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</row>
    <row r="667">
      <c r="A667" s="9"/>
      <c r="B667" s="9"/>
      <c r="C667" s="9"/>
      <c r="D667" s="9"/>
      <c r="E667" s="9"/>
      <c r="F667" s="9"/>
      <c r="G667" s="9"/>
      <c r="H667" s="74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</row>
    <row r="668">
      <c r="A668" s="9"/>
      <c r="B668" s="9"/>
      <c r="C668" s="9"/>
      <c r="D668" s="9"/>
      <c r="E668" s="9"/>
      <c r="F668" s="9"/>
      <c r="G668" s="9"/>
      <c r="H668" s="74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</row>
    <row r="669">
      <c r="A669" s="9"/>
      <c r="B669" s="9"/>
      <c r="C669" s="9"/>
      <c r="D669" s="9"/>
      <c r="E669" s="9"/>
      <c r="F669" s="9"/>
      <c r="G669" s="9"/>
      <c r="H669" s="74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</row>
    <row r="670">
      <c r="A670" s="9"/>
      <c r="B670" s="9"/>
      <c r="C670" s="9"/>
      <c r="D670" s="9"/>
      <c r="E670" s="9"/>
      <c r="F670" s="9"/>
      <c r="G670" s="9"/>
      <c r="H670" s="74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</row>
    <row r="671">
      <c r="A671" s="9"/>
      <c r="B671" s="9"/>
      <c r="C671" s="9"/>
      <c r="D671" s="9"/>
      <c r="E671" s="9"/>
      <c r="F671" s="9"/>
      <c r="G671" s="9"/>
      <c r="H671" s="74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</row>
    <row r="672">
      <c r="A672" s="9"/>
      <c r="B672" s="9"/>
      <c r="C672" s="9"/>
      <c r="D672" s="9"/>
      <c r="E672" s="9"/>
      <c r="F672" s="9"/>
      <c r="G672" s="9"/>
      <c r="H672" s="74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</row>
    <row r="673">
      <c r="A673" s="9"/>
      <c r="B673" s="9"/>
      <c r="C673" s="9"/>
      <c r="D673" s="9"/>
      <c r="E673" s="9"/>
      <c r="F673" s="9"/>
      <c r="G673" s="9"/>
      <c r="H673" s="74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</row>
    <row r="674">
      <c r="A674" s="9"/>
      <c r="B674" s="9"/>
      <c r="C674" s="9"/>
      <c r="D674" s="9"/>
      <c r="E674" s="9"/>
      <c r="F674" s="9"/>
      <c r="G674" s="9"/>
      <c r="H674" s="74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</row>
    <row r="675">
      <c r="A675" s="9"/>
      <c r="B675" s="9"/>
      <c r="C675" s="9"/>
      <c r="D675" s="9"/>
      <c r="E675" s="9"/>
      <c r="F675" s="9"/>
      <c r="G675" s="9"/>
      <c r="H675" s="74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</row>
    <row r="676">
      <c r="A676" s="9"/>
      <c r="B676" s="9"/>
      <c r="C676" s="9"/>
      <c r="D676" s="9"/>
      <c r="E676" s="9"/>
      <c r="F676" s="9"/>
      <c r="G676" s="9"/>
      <c r="H676" s="74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</row>
    <row r="677">
      <c r="A677" s="9"/>
      <c r="B677" s="9"/>
      <c r="C677" s="9"/>
      <c r="D677" s="9"/>
      <c r="E677" s="9"/>
      <c r="F677" s="9"/>
      <c r="G677" s="9"/>
      <c r="H677" s="74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</row>
    <row r="678">
      <c r="A678" s="9"/>
      <c r="B678" s="9"/>
      <c r="C678" s="9"/>
      <c r="D678" s="9"/>
      <c r="E678" s="9"/>
      <c r="F678" s="9"/>
      <c r="G678" s="9"/>
      <c r="H678" s="74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</row>
    <row r="679">
      <c r="A679" s="9"/>
      <c r="B679" s="9"/>
      <c r="C679" s="9"/>
      <c r="D679" s="9"/>
      <c r="E679" s="9"/>
      <c r="F679" s="9"/>
      <c r="G679" s="9"/>
      <c r="H679" s="74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</row>
    <row r="680">
      <c r="A680" s="9"/>
      <c r="B680" s="9"/>
      <c r="C680" s="9"/>
      <c r="D680" s="9"/>
      <c r="E680" s="9"/>
      <c r="F680" s="9"/>
      <c r="G680" s="9"/>
      <c r="H680" s="74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</row>
    <row r="681">
      <c r="A681" s="9"/>
      <c r="B681" s="9"/>
      <c r="C681" s="9"/>
      <c r="D681" s="9"/>
      <c r="E681" s="9"/>
      <c r="F681" s="9"/>
      <c r="G681" s="9"/>
      <c r="H681" s="74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</row>
    <row r="682">
      <c r="A682" s="9"/>
      <c r="B682" s="9"/>
      <c r="C682" s="9"/>
      <c r="D682" s="9"/>
      <c r="E682" s="9"/>
      <c r="F682" s="9"/>
      <c r="G682" s="9"/>
      <c r="H682" s="74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</row>
    <row r="683">
      <c r="A683" s="9"/>
      <c r="B683" s="9"/>
      <c r="C683" s="9"/>
      <c r="D683" s="9"/>
      <c r="E683" s="9"/>
      <c r="F683" s="9"/>
      <c r="G683" s="9"/>
      <c r="H683" s="74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</row>
    <row r="684">
      <c r="A684" s="9"/>
      <c r="B684" s="9"/>
      <c r="C684" s="9"/>
      <c r="D684" s="9"/>
      <c r="E684" s="9"/>
      <c r="F684" s="9"/>
      <c r="G684" s="9"/>
      <c r="H684" s="74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</row>
    <row r="685">
      <c r="A685" s="9"/>
      <c r="B685" s="9"/>
      <c r="C685" s="9"/>
      <c r="D685" s="9"/>
      <c r="E685" s="9"/>
      <c r="F685" s="9"/>
      <c r="G685" s="9"/>
      <c r="H685" s="74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</row>
    <row r="686">
      <c r="A686" s="9"/>
      <c r="B686" s="9"/>
      <c r="C686" s="9"/>
      <c r="D686" s="9"/>
      <c r="E686" s="9"/>
      <c r="F686" s="9"/>
      <c r="G686" s="9"/>
      <c r="H686" s="74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</row>
    <row r="687">
      <c r="A687" s="9"/>
      <c r="B687" s="9"/>
      <c r="C687" s="9"/>
      <c r="D687" s="9"/>
      <c r="E687" s="9"/>
      <c r="F687" s="9"/>
      <c r="G687" s="9"/>
      <c r="H687" s="74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</row>
    <row r="688">
      <c r="A688" s="9"/>
      <c r="B688" s="9"/>
      <c r="C688" s="9"/>
      <c r="D688" s="9"/>
      <c r="E688" s="9"/>
      <c r="F688" s="9"/>
      <c r="G688" s="9"/>
      <c r="H688" s="74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</row>
    <row r="689">
      <c r="A689" s="9"/>
      <c r="B689" s="9"/>
      <c r="C689" s="9"/>
      <c r="D689" s="9"/>
      <c r="E689" s="9"/>
      <c r="F689" s="9"/>
      <c r="G689" s="9"/>
      <c r="H689" s="74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</row>
    <row r="690">
      <c r="A690" s="9"/>
      <c r="B690" s="9"/>
      <c r="C690" s="9"/>
      <c r="D690" s="9"/>
      <c r="E690" s="9"/>
      <c r="F690" s="9"/>
      <c r="G690" s="9"/>
      <c r="H690" s="74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</row>
    <row r="691">
      <c r="A691" s="9"/>
      <c r="B691" s="9"/>
      <c r="C691" s="9"/>
      <c r="D691" s="9"/>
      <c r="E691" s="9"/>
      <c r="F691" s="9"/>
      <c r="G691" s="9"/>
      <c r="H691" s="74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</row>
    <row r="692">
      <c r="A692" s="9"/>
      <c r="B692" s="9"/>
      <c r="C692" s="9"/>
      <c r="D692" s="9"/>
      <c r="E692" s="9"/>
      <c r="F692" s="9"/>
      <c r="G692" s="9"/>
      <c r="H692" s="74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</row>
    <row r="693">
      <c r="A693" s="9"/>
      <c r="B693" s="9"/>
      <c r="C693" s="9"/>
      <c r="D693" s="9"/>
      <c r="E693" s="9"/>
      <c r="F693" s="9"/>
      <c r="G693" s="9"/>
      <c r="H693" s="74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</row>
    <row r="694">
      <c r="A694" s="9"/>
      <c r="B694" s="9"/>
      <c r="C694" s="9"/>
      <c r="D694" s="9"/>
      <c r="E694" s="9"/>
      <c r="F694" s="9"/>
      <c r="G694" s="9"/>
      <c r="H694" s="74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</row>
    <row r="695">
      <c r="A695" s="9"/>
      <c r="B695" s="9"/>
      <c r="C695" s="9"/>
      <c r="D695" s="9"/>
      <c r="E695" s="9"/>
      <c r="F695" s="9"/>
      <c r="G695" s="9"/>
      <c r="H695" s="74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</row>
    <row r="696">
      <c r="A696" s="9"/>
      <c r="B696" s="9"/>
      <c r="C696" s="9"/>
      <c r="D696" s="9"/>
      <c r="E696" s="9"/>
      <c r="F696" s="9"/>
      <c r="G696" s="9"/>
      <c r="H696" s="74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</row>
    <row r="697">
      <c r="A697" s="9"/>
      <c r="B697" s="9"/>
      <c r="C697" s="9"/>
      <c r="D697" s="9"/>
      <c r="E697" s="9"/>
      <c r="F697" s="9"/>
      <c r="G697" s="9"/>
      <c r="H697" s="74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</row>
    <row r="698">
      <c r="A698" s="9"/>
      <c r="B698" s="9"/>
      <c r="C698" s="9"/>
      <c r="D698" s="9"/>
      <c r="E698" s="9"/>
      <c r="F698" s="9"/>
      <c r="G698" s="9"/>
      <c r="H698" s="74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</row>
    <row r="699">
      <c r="A699" s="9"/>
      <c r="B699" s="9"/>
      <c r="C699" s="9"/>
      <c r="D699" s="9"/>
      <c r="E699" s="9"/>
      <c r="F699" s="9"/>
      <c r="G699" s="9"/>
      <c r="H699" s="74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</row>
    <row r="700">
      <c r="A700" s="9"/>
      <c r="B700" s="9"/>
      <c r="C700" s="9"/>
      <c r="D700" s="9"/>
      <c r="E700" s="9"/>
      <c r="F700" s="9"/>
      <c r="G700" s="9"/>
      <c r="H700" s="74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</row>
    <row r="701">
      <c r="A701" s="9"/>
      <c r="B701" s="9"/>
      <c r="C701" s="9"/>
      <c r="D701" s="9"/>
      <c r="E701" s="9"/>
      <c r="F701" s="9"/>
      <c r="G701" s="9"/>
      <c r="H701" s="74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</row>
    <row r="702">
      <c r="A702" s="9"/>
      <c r="B702" s="9"/>
      <c r="C702" s="9"/>
      <c r="D702" s="9"/>
      <c r="E702" s="9"/>
      <c r="F702" s="9"/>
      <c r="G702" s="9"/>
      <c r="H702" s="74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</row>
    <row r="703">
      <c r="A703" s="9"/>
      <c r="B703" s="9"/>
      <c r="C703" s="9"/>
      <c r="D703" s="9"/>
      <c r="E703" s="9"/>
      <c r="F703" s="9"/>
      <c r="G703" s="9"/>
      <c r="H703" s="74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</row>
    <row r="704">
      <c r="A704" s="9"/>
      <c r="B704" s="9"/>
      <c r="C704" s="9"/>
      <c r="D704" s="9"/>
      <c r="E704" s="9"/>
      <c r="F704" s="9"/>
      <c r="G704" s="9"/>
      <c r="H704" s="74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</row>
    <row r="705">
      <c r="A705" s="9"/>
      <c r="B705" s="9"/>
      <c r="C705" s="9"/>
      <c r="D705" s="9"/>
      <c r="E705" s="9"/>
      <c r="F705" s="9"/>
      <c r="G705" s="9"/>
      <c r="H705" s="74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</row>
    <row r="706">
      <c r="A706" s="9"/>
      <c r="B706" s="9"/>
      <c r="C706" s="9"/>
      <c r="D706" s="9"/>
      <c r="E706" s="9"/>
      <c r="F706" s="9"/>
      <c r="G706" s="9"/>
      <c r="H706" s="74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</row>
    <row r="707">
      <c r="A707" s="9"/>
      <c r="B707" s="9"/>
      <c r="C707" s="9"/>
      <c r="D707" s="9"/>
      <c r="E707" s="9"/>
      <c r="F707" s="9"/>
      <c r="G707" s="9"/>
      <c r="H707" s="74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</row>
    <row r="708">
      <c r="A708" s="9"/>
      <c r="B708" s="9"/>
      <c r="C708" s="9"/>
      <c r="D708" s="9"/>
      <c r="E708" s="9"/>
      <c r="F708" s="9"/>
      <c r="G708" s="9"/>
      <c r="H708" s="74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</row>
    <row r="709">
      <c r="A709" s="9"/>
      <c r="B709" s="9"/>
      <c r="C709" s="9"/>
      <c r="D709" s="9"/>
      <c r="E709" s="9"/>
      <c r="F709" s="9"/>
      <c r="G709" s="9"/>
      <c r="H709" s="74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</row>
    <row r="710">
      <c r="A710" s="9"/>
      <c r="B710" s="9"/>
      <c r="C710" s="9"/>
      <c r="D710" s="9"/>
      <c r="E710" s="9"/>
      <c r="F710" s="9"/>
      <c r="G710" s="9"/>
      <c r="H710" s="74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</row>
    <row r="711">
      <c r="A711" s="9"/>
      <c r="B711" s="9"/>
      <c r="C711" s="9"/>
      <c r="D711" s="9"/>
      <c r="E711" s="9"/>
      <c r="F711" s="9"/>
      <c r="G711" s="9"/>
      <c r="H711" s="74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</row>
    <row r="712">
      <c r="A712" s="9"/>
      <c r="B712" s="9"/>
      <c r="C712" s="9"/>
      <c r="D712" s="9"/>
      <c r="E712" s="9"/>
      <c r="F712" s="9"/>
      <c r="G712" s="9"/>
      <c r="H712" s="74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</row>
    <row r="713">
      <c r="A713" s="9"/>
      <c r="B713" s="9"/>
      <c r="C713" s="9"/>
      <c r="D713" s="9"/>
      <c r="E713" s="9"/>
      <c r="F713" s="9"/>
      <c r="G713" s="9"/>
      <c r="H713" s="74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</row>
    <row r="714">
      <c r="A714" s="9"/>
      <c r="B714" s="9"/>
      <c r="C714" s="9"/>
      <c r="D714" s="9"/>
      <c r="E714" s="9"/>
      <c r="F714" s="9"/>
      <c r="G714" s="9"/>
      <c r="H714" s="74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</row>
    <row r="715">
      <c r="A715" s="9"/>
      <c r="B715" s="9"/>
      <c r="C715" s="9"/>
      <c r="D715" s="9"/>
      <c r="E715" s="9"/>
      <c r="F715" s="9"/>
      <c r="G715" s="9"/>
      <c r="H715" s="74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</row>
    <row r="716">
      <c r="A716" s="9"/>
      <c r="B716" s="9"/>
      <c r="C716" s="9"/>
      <c r="D716" s="9"/>
      <c r="E716" s="9"/>
      <c r="F716" s="9"/>
      <c r="G716" s="9"/>
      <c r="H716" s="74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</row>
    <row r="717">
      <c r="A717" s="9"/>
      <c r="B717" s="9"/>
      <c r="C717" s="9"/>
      <c r="D717" s="9"/>
      <c r="E717" s="9"/>
      <c r="F717" s="9"/>
      <c r="G717" s="9"/>
      <c r="H717" s="74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</row>
    <row r="718">
      <c r="A718" s="9"/>
      <c r="B718" s="9"/>
      <c r="C718" s="9"/>
      <c r="D718" s="9"/>
      <c r="E718" s="9"/>
      <c r="F718" s="9"/>
      <c r="G718" s="9"/>
      <c r="H718" s="74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</row>
    <row r="719">
      <c r="A719" s="9"/>
      <c r="B719" s="9"/>
      <c r="C719" s="9"/>
      <c r="D719" s="9"/>
      <c r="E719" s="9"/>
      <c r="F719" s="9"/>
      <c r="G719" s="9"/>
      <c r="H719" s="74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</row>
    <row r="720">
      <c r="A720" s="9"/>
      <c r="B720" s="9"/>
      <c r="C720" s="9"/>
      <c r="D720" s="9"/>
      <c r="E720" s="9"/>
      <c r="F720" s="9"/>
      <c r="G720" s="9"/>
      <c r="H720" s="74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</row>
    <row r="721">
      <c r="A721" s="9"/>
      <c r="B721" s="9"/>
      <c r="C721" s="9"/>
      <c r="D721" s="9"/>
      <c r="E721" s="9"/>
      <c r="F721" s="9"/>
      <c r="G721" s="9"/>
      <c r="H721" s="74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</row>
    <row r="722">
      <c r="A722" s="9"/>
      <c r="B722" s="9"/>
      <c r="C722" s="9"/>
      <c r="D722" s="9"/>
      <c r="E722" s="9"/>
      <c r="F722" s="9"/>
      <c r="G722" s="9"/>
      <c r="H722" s="74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</row>
    <row r="723">
      <c r="A723" s="9"/>
      <c r="B723" s="9"/>
      <c r="C723" s="9"/>
      <c r="D723" s="9"/>
      <c r="E723" s="9"/>
      <c r="F723" s="9"/>
      <c r="G723" s="9"/>
      <c r="H723" s="74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</row>
    <row r="724">
      <c r="A724" s="9"/>
      <c r="B724" s="9"/>
      <c r="C724" s="9"/>
      <c r="D724" s="9"/>
      <c r="E724" s="9"/>
      <c r="F724" s="9"/>
      <c r="G724" s="9"/>
      <c r="H724" s="74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</row>
    <row r="725">
      <c r="A725" s="9"/>
      <c r="B725" s="9"/>
      <c r="C725" s="9"/>
      <c r="D725" s="9"/>
      <c r="E725" s="9"/>
      <c r="F725" s="9"/>
      <c r="G725" s="9"/>
      <c r="H725" s="74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</row>
    <row r="726">
      <c r="A726" s="9"/>
      <c r="B726" s="9"/>
      <c r="C726" s="9"/>
      <c r="D726" s="9"/>
      <c r="E726" s="9"/>
      <c r="F726" s="9"/>
      <c r="G726" s="9"/>
      <c r="H726" s="74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</row>
    <row r="727">
      <c r="A727" s="9"/>
      <c r="B727" s="9"/>
      <c r="C727" s="9"/>
      <c r="D727" s="9"/>
      <c r="E727" s="9"/>
      <c r="F727" s="9"/>
      <c r="G727" s="9"/>
      <c r="H727" s="74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</row>
    <row r="728">
      <c r="A728" s="9"/>
      <c r="B728" s="9"/>
      <c r="C728" s="9"/>
      <c r="D728" s="9"/>
      <c r="E728" s="9"/>
      <c r="F728" s="9"/>
      <c r="G728" s="9"/>
      <c r="H728" s="74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</row>
    <row r="729">
      <c r="A729" s="9"/>
      <c r="B729" s="9"/>
      <c r="C729" s="9"/>
      <c r="D729" s="9"/>
      <c r="E729" s="9"/>
      <c r="F729" s="9"/>
      <c r="G729" s="9"/>
      <c r="H729" s="74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</row>
    <row r="730">
      <c r="A730" s="9"/>
      <c r="B730" s="9"/>
      <c r="C730" s="9"/>
      <c r="D730" s="9"/>
      <c r="E730" s="9"/>
      <c r="F730" s="9"/>
      <c r="G730" s="9"/>
      <c r="H730" s="74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</row>
    <row r="731">
      <c r="A731" s="9"/>
      <c r="B731" s="9"/>
      <c r="C731" s="9"/>
      <c r="D731" s="9"/>
      <c r="E731" s="9"/>
      <c r="F731" s="9"/>
      <c r="G731" s="9"/>
      <c r="H731" s="74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</row>
    <row r="732">
      <c r="A732" s="9"/>
      <c r="B732" s="9"/>
      <c r="C732" s="9"/>
      <c r="D732" s="9"/>
      <c r="E732" s="9"/>
      <c r="F732" s="9"/>
      <c r="G732" s="9"/>
      <c r="H732" s="74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</row>
    <row r="733">
      <c r="A733" s="9"/>
      <c r="B733" s="9"/>
      <c r="C733" s="9"/>
      <c r="D733" s="9"/>
      <c r="E733" s="9"/>
      <c r="F733" s="9"/>
      <c r="G733" s="9"/>
      <c r="H733" s="74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</row>
    <row r="734">
      <c r="A734" s="9"/>
      <c r="B734" s="9"/>
      <c r="C734" s="9"/>
      <c r="D734" s="9"/>
      <c r="E734" s="9"/>
      <c r="F734" s="9"/>
      <c r="G734" s="9"/>
      <c r="H734" s="74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</row>
    <row r="735">
      <c r="A735" s="9"/>
      <c r="B735" s="9"/>
      <c r="C735" s="9"/>
      <c r="D735" s="9"/>
      <c r="E735" s="9"/>
      <c r="F735" s="9"/>
      <c r="G735" s="9"/>
      <c r="H735" s="74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</row>
    <row r="736">
      <c r="A736" s="9"/>
      <c r="B736" s="9"/>
      <c r="C736" s="9"/>
      <c r="D736" s="9"/>
      <c r="E736" s="9"/>
      <c r="F736" s="9"/>
      <c r="G736" s="9"/>
      <c r="H736" s="74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</row>
    <row r="737">
      <c r="A737" s="9"/>
      <c r="B737" s="9"/>
      <c r="C737" s="9"/>
      <c r="D737" s="9"/>
      <c r="E737" s="9"/>
      <c r="F737" s="9"/>
      <c r="G737" s="9"/>
      <c r="H737" s="74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</row>
    <row r="738">
      <c r="A738" s="9"/>
      <c r="B738" s="9"/>
      <c r="C738" s="9"/>
      <c r="D738" s="9"/>
      <c r="E738" s="9"/>
      <c r="F738" s="9"/>
      <c r="G738" s="9"/>
      <c r="H738" s="74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</row>
    <row r="739">
      <c r="A739" s="9"/>
      <c r="B739" s="9"/>
      <c r="C739" s="9"/>
      <c r="D739" s="9"/>
      <c r="E739" s="9"/>
      <c r="F739" s="9"/>
      <c r="G739" s="9"/>
      <c r="H739" s="74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</row>
    <row r="740">
      <c r="A740" s="9"/>
      <c r="B740" s="9"/>
      <c r="C740" s="9"/>
      <c r="D740" s="9"/>
      <c r="E740" s="9"/>
      <c r="F740" s="9"/>
      <c r="G740" s="9"/>
      <c r="H740" s="74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</row>
    <row r="741">
      <c r="A741" s="9"/>
      <c r="B741" s="9"/>
      <c r="C741" s="9"/>
      <c r="D741" s="9"/>
      <c r="E741" s="9"/>
      <c r="F741" s="9"/>
      <c r="G741" s="9"/>
      <c r="H741" s="74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</row>
    <row r="742">
      <c r="A742" s="9"/>
      <c r="B742" s="9"/>
      <c r="C742" s="9"/>
      <c r="D742" s="9"/>
      <c r="E742" s="9"/>
      <c r="F742" s="9"/>
      <c r="G742" s="9"/>
      <c r="H742" s="74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</row>
    <row r="743">
      <c r="A743" s="9"/>
      <c r="B743" s="9"/>
      <c r="C743" s="9"/>
      <c r="D743" s="9"/>
      <c r="E743" s="9"/>
      <c r="F743" s="9"/>
      <c r="G743" s="9"/>
      <c r="H743" s="74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</row>
    <row r="744">
      <c r="A744" s="9"/>
      <c r="B744" s="9"/>
      <c r="C744" s="9"/>
      <c r="D744" s="9"/>
      <c r="E744" s="9"/>
      <c r="F744" s="9"/>
      <c r="G744" s="9"/>
      <c r="H744" s="74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</row>
    <row r="745">
      <c r="A745" s="9"/>
      <c r="B745" s="9"/>
      <c r="C745" s="9"/>
      <c r="D745" s="9"/>
      <c r="E745" s="9"/>
      <c r="F745" s="9"/>
      <c r="G745" s="9"/>
      <c r="H745" s="74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</row>
    <row r="746">
      <c r="A746" s="9"/>
      <c r="B746" s="9"/>
      <c r="C746" s="9"/>
      <c r="D746" s="9"/>
      <c r="E746" s="9"/>
      <c r="F746" s="9"/>
      <c r="G746" s="9"/>
      <c r="H746" s="74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</row>
    <row r="747">
      <c r="A747" s="9"/>
      <c r="B747" s="9"/>
      <c r="C747" s="9"/>
      <c r="D747" s="9"/>
      <c r="E747" s="9"/>
      <c r="F747" s="9"/>
      <c r="G747" s="9"/>
      <c r="H747" s="74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</row>
    <row r="748">
      <c r="A748" s="9"/>
      <c r="B748" s="9"/>
      <c r="C748" s="9"/>
      <c r="D748" s="9"/>
      <c r="E748" s="9"/>
      <c r="F748" s="9"/>
      <c r="G748" s="9"/>
      <c r="H748" s="74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</row>
    <row r="749">
      <c r="A749" s="9"/>
      <c r="B749" s="9"/>
      <c r="C749" s="9"/>
      <c r="D749" s="9"/>
      <c r="E749" s="9"/>
      <c r="F749" s="9"/>
      <c r="G749" s="9"/>
      <c r="H749" s="74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</row>
    <row r="750">
      <c r="A750" s="9"/>
      <c r="B750" s="9"/>
      <c r="C750" s="9"/>
      <c r="D750" s="9"/>
      <c r="E750" s="9"/>
      <c r="F750" s="9"/>
      <c r="G750" s="9"/>
      <c r="H750" s="74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</row>
    <row r="751">
      <c r="A751" s="9"/>
      <c r="B751" s="9"/>
      <c r="C751" s="9"/>
      <c r="D751" s="9"/>
      <c r="E751" s="9"/>
      <c r="F751" s="9"/>
      <c r="G751" s="9"/>
      <c r="H751" s="74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</row>
    <row r="752">
      <c r="A752" s="9"/>
      <c r="B752" s="9"/>
      <c r="C752" s="9"/>
      <c r="D752" s="9"/>
      <c r="E752" s="9"/>
      <c r="F752" s="9"/>
      <c r="G752" s="9"/>
      <c r="H752" s="74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</row>
    <row r="753">
      <c r="A753" s="9"/>
      <c r="B753" s="9"/>
      <c r="C753" s="9"/>
      <c r="D753" s="9"/>
      <c r="E753" s="9"/>
      <c r="F753" s="9"/>
      <c r="G753" s="9"/>
      <c r="H753" s="74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</row>
    <row r="754">
      <c r="A754" s="9"/>
      <c r="B754" s="9"/>
      <c r="C754" s="9"/>
      <c r="D754" s="9"/>
      <c r="E754" s="9"/>
      <c r="F754" s="9"/>
      <c r="G754" s="9"/>
      <c r="H754" s="74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</row>
    <row r="755">
      <c r="A755" s="9"/>
      <c r="B755" s="9"/>
      <c r="C755" s="9"/>
      <c r="D755" s="9"/>
      <c r="E755" s="9"/>
      <c r="F755" s="9"/>
      <c r="G755" s="9"/>
      <c r="H755" s="74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</row>
    <row r="756">
      <c r="A756" s="9"/>
      <c r="B756" s="9"/>
      <c r="C756" s="9"/>
      <c r="D756" s="9"/>
      <c r="E756" s="9"/>
      <c r="F756" s="9"/>
      <c r="G756" s="9"/>
      <c r="H756" s="74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</row>
    <row r="757">
      <c r="A757" s="9"/>
      <c r="B757" s="9"/>
      <c r="C757" s="9"/>
      <c r="D757" s="9"/>
      <c r="E757" s="9"/>
      <c r="F757" s="9"/>
      <c r="G757" s="9"/>
      <c r="H757" s="74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</row>
    <row r="758">
      <c r="A758" s="9"/>
      <c r="B758" s="9"/>
      <c r="C758" s="9"/>
      <c r="D758" s="9"/>
      <c r="E758" s="9"/>
      <c r="F758" s="9"/>
      <c r="G758" s="9"/>
      <c r="H758" s="74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</row>
    <row r="759">
      <c r="A759" s="9"/>
      <c r="B759" s="9"/>
      <c r="C759" s="9"/>
      <c r="D759" s="9"/>
      <c r="E759" s="9"/>
      <c r="F759" s="9"/>
      <c r="G759" s="9"/>
      <c r="H759" s="74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</row>
    <row r="760">
      <c r="A760" s="9"/>
      <c r="B760" s="9"/>
      <c r="C760" s="9"/>
      <c r="D760" s="9"/>
      <c r="E760" s="9"/>
      <c r="F760" s="9"/>
      <c r="G760" s="9"/>
      <c r="H760" s="74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</row>
    <row r="761">
      <c r="A761" s="9"/>
      <c r="B761" s="9"/>
      <c r="C761" s="9"/>
      <c r="D761" s="9"/>
      <c r="E761" s="9"/>
      <c r="F761" s="9"/>
      <c r="G761" s="9"/>
      <c r="H761" s="74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</row>
    <row r="762">
      <c r="A762" s="9"/>
      <c r="B762" s="9"/>
      <c r="C762" s="9"/>
      <c r="D762" s="9"/>
      <c r="E762" s="9"/>
      <c r="F762" s="9"/>
      <c r="G762" s="9"/>
      <c r="H762" s="74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</row>
    <row r="763">
      <c r="A763" s="9"/>
      <c r="B763" s="9"/>
      <c r="C763" s="9"/>
      <c r="D763" s="9"/>
      <c r="E763" s="9"/>
      <c r="F763" s="9"/>
      <c r="G763" s="9"/>
      <c r="H763" s="74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</row>
    <row r="764">
      <c r="A764" s="9"/>
      <c r="B764" s="9"/>
      <c r="C764" s="9"/>
      <c r="D764" s="9"/>
      <c r="E764" s="9"/>
      <c r="F764" s="9"/>
      <c r="G764" s="9"/>
      <c r="H764" s="74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</row>
    <row r="765">
      <c r="A765" s="9"/>
      <c r="B765" s="9"/>
      <c r="C765" s="9"/>
      <c r="D765" s="9"/>
      <c r="E765" s="9"/>
      <c r="F765" s="9"/>
      <c r="G765" s="9"/>
      <c r="H765" s="74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</row>
    <row r="766">
      <c r="A766" s="9"/>
      <c r="B766" s="9"/>
      <c r="C766" s="9"/>
      <c r="D766" s="9"/>
      <c r="E766" s="9"/>
      <c r="F766" s="9"/>
      <c r="G766" s="9"/>
      <c r="H766" s="74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</row>
    <row r="767">
      <c r="A767" s="9"/>
      <c r="B767" s="9"/>
      <c r="C767" s="9"/>
      <c r="D767" s="9"/>
      <c r="E767" s="9"/>
      <c r="F767" s="9"/>
      <c r="G767" s="9"/>
      <c r="H767" s="74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</row>
    <row r="768">
      <c r="A768" s="9"/>
      <c r="B768" s="9"/>
      <c r="C768" s="9"/>
      <c r="D768" s="9"/>
      <c r="E768" s="9"/>
      <c r="F768" s="9"/>
      <c r="G768" s="9"/>
      <c r="H768" s="74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</row>
    <row r="769">
      <c r="A769" s="9"/>
      <c r="B769" s="9"/>
      <c r="C769" s="9"/>
      <c r="D769" s="9"/>
      <c r="E769" s="9"/>
      <c r="F769" s="9"/>
      <c r="G769" s="9"/>
      <c r="H769" s="74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</row>
    <row r="770">
      <c r="A770" s="9"/>
      <c r="B770" s="9"/>
      <c r="C770" s="9"/>
      <c r="D770" s="9"/>
      <c r="E770" s="9"/>
      <c r="F770" s="9"/>
      <c r="G770" s="9"/>
      <c r="H770" s="74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</row>
    <row r="771">
      <c r="A771" s="9"/>
      <c r="B771" s="9"/>
      <c r="C771" s="9"/>
      <c r="D771" s="9"/>
      <c r="E771" s="9"/>
      <c r="F771" s="9"/>
      <c r="G771" s="9"/>
      <c r="H771" s="74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</row>
    <row r="772">
      <c r="A772" s="9"/>
      <c r="B772" s="9"/>
      <c r="C772" s="9"/>
      <c r="D772" s="9"/>
      <c r="E772" s="9"/>
      <c r="F772" s="9"/>
      <c r="G772" s="9"/>
      <c r="H772" s="74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</row>
    <row r="773">
      <c r="A773" s="9"/>
      <c r="B773" s="9"/>
      <c r="C773" s="9"/>
      <c r="D773" s="9"/>
      <c r="E773" s="9"/>
      <c r="F773" s="9"/>
      <c r="G773" s="9"/>
      <c r="H773" s="74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</row>
    <row r="774">
      <c r="A774" s="9"/>
      <c r="B774" s="9"/>
      <c r="C774" s="9"/>
      <c r="D774" s="9"/>
      <c r="E774" s="9"/>
      <c r="F774" s="9"/>
      <c r="G774" s="9"/>
      <c r="H774" s="74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</row>
    <row r="775">
      <c r="A775" s="9"/>
      <c r="B775" s="9"/>
      <c r="C775" s="9"/>
      <c r="D775" s="9"/>
      <c r="E775" s="9"/>
      <c r="F775" s="9"/>
      <c r="G775" s="9"/>
      <c r="H775" s="74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</row>
    <row r="776">
      <c r="A776" s="9"/>
      <c r="B776" s="9"/>
      <c r="C776" s="9"/>
      <c r="D776" s="9"/>
      <c r="E776" s="9"/>
      <c r="F776" s="9"/>
      <c r="G776" s="9"/>
      <c r="H776" s="74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</row>
    <row r="777">
      <c r="A777" s="9"/>
      <c r="B777" s="9"/>
      <c r="C777" s="9"/>
      <c r="D777" s="9"/>
      <c r="E777" s="9"/>
      <c r="F777" s="9"/>
      <c r="G777" s="9"/>
      <c r="H777" s="74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</row>
    <row r="778">
      <c r="A778" s="9"/>
      <c r="B778" s="9"/>
      <c r="C778" s="9"/>
      <c r="D778" s="9"/>
      <c r="E778" s="9"/>
      <c r="F778" s="9"/>
      <c r="G778" s="9"/>
      <c r="H778" s="74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</row>
    <row r="779">
      <c r="A779" s="9"/>
      <c r="B779" s="9"/>
      <c r="C779" s="9"/>
      <c r="D779" s="9"/>
      <c r="E779" s="9"/>
      <c r="F779" s="9"/>
      <c r="G779" s="9"/>
      <c r="H779" s="74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</row>
    <row r="780">
      <c r="A780" s="9"/>
      <c r="B780" s="9"/>
      <c r="C780" s="9"/>
      <c r="D780" s="9"/>
      <c r="E780" s="9"/>
      <c r="F780" s="9"/>
      <c r="G780" s="9"/>
      <c r="H780" s="74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</row>
    <row r="781">
      <c r="A781" s="9"/>
      <c r="B781" s="9"/>
      <c r="C781" s="9"/>
      <c r="D781" s="9"/>
      <c r="E781" s="9"/>
      <c r="F781" s="9"/>
      <c r="G781" s="9"/>
      <c r="H781" s="74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</row>
    <row r="782">
      <c r="A782" s="9"/>
      <c r="B782" s="9"/>
      <c r="C782" s="9"/>
      <c r="D782" s="9"/>
      <c r="E782" s="9"/>
      <c r="F782" s="9"/>
      <c r="G782" s="9"/>
      <c r="H782" s="74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</row>
    <row r="783">
      <c r="A783" s="9"/>
      <c r="B783" s="9"/>
      <c r="C783" s="9"/>
      <c r="D783" s="9"/>
      <c r="E783" s="9"/>
      <c r="F783" s="9"/>
      <c r="G783" s="9"/>
      <c r="H783" s="74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</row>
    <row r="784">
      <c r="A784" s="9"/>
      <c r="B784" s="9"/>
      <c r="C784" s="9"/>
      <c r="D784" s="9"/>
      <c r="E784" s="9"/>
      <c r="F784" s="9"/>
      <c r="G784" s="9"/>
      <c r="H784" s="74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</row>
    <row r="785">
      <c r="A785" s="9"/>
      <c r="B785" s="9"/>
      <c r="C785" s="9"/>
      <c r="D785" s="9"/>
      <c r="E785" s="9"/>
      <c r="F785" s="9"/>
      <c r="G785" s="9"/>
      <c r="H785" s="74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</row>
    <row r="786">
      <c r="A786" s="9"/>
      <c r="B786" s="9"/>
      <c r="C786" s="9"/>
      <c r="D786" s="9"/>
      <c r="E786" s="9"/>
      <c r="F786" s="9"/>
      <c r="G786" s="9"/>
      <c r="H786" s="74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</row>
    <row r="787">
      <c r="A787" s="9"/>
      <c r="B787" s="9"/>
      <c r="C787" s="9"/>
      <c r="D787" s="9"/>
      <c r="E787" s="9"/>
      <c r="F787" s="9"/>
      <c r="G787" s="9"/>
      <c r="H787" s="74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</row>
    <row r="788">
      <c r="A788" s="9"/>
      <c r="B788" s="9"/>
      <c r="C788" s="9"/>
      <c r="D788" s="9"/>
      <c r="E788" s="9"/>
      <c r="F788" s="9"/>
      <c r="G788" s="9"/>
      <c r="H788" s="74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</row>
    <row r="789">
      <c r="A789" s="9"/>
      <c r="B789" s="9"/>
      <c r="C789" s="9"/>
      <c r="D789" s="9"/>
      <c r="E789" s="9"/>
      <c r="F789" s="9"/>
      <c r="G789" s="9"/>
      <c r="H789" s="74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</row>
    <row r="790">
      <c r="A790" s="9"/>
      <c r="B790" s="9"/>
      <c r="C790" s="9"/>
      <c r="D790" s="9"/>
      <c r="E790" s="9"/>
      <c r="F790" s="9"/>
      <c r="G790" s="9"/>
      <c r="H790" s="74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</row>
    <row r="791">
      <c r="A791" s="9"/>
      <c r="B791" s="9"/>
      <c r="C791" s="9"/>
      <c r="D791" s="9"/>
      <c r="E791" s="9"/>
      <c r="F791" s="9"/>
      <c r="G791" s="9"/>
      <c r="H791" s="74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</row>
    <row r="792">
      <c r="A792" s="9"/>
      <c r="B792" s="9"/>
      <c r="C792" s="9"/>
      <c r="D792" s="9"/>
      <c r="E792" s="9"/>
      <c r="F792" s="9"/>
      <c r="G792" s="9"/>
      <c r="H792" s="74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</row>
    <row r="793">
      <c r="A793" s="9"/>
      <c r="B793" s="9"/>
      <c r="C793" s="9"/>
      <c r="D793" s="9"/>
      <c r="E793" s="9"/>
      <c r="F793" s="9"/>
      <c r="G793" s="9"/>
      <c r="H793" s="74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</row>
    <row r="794">
      <c r="A794" s="9"/>
      <c r="B794" s="9"/>
      <c r="C794" s="9"/>
      <c r="D794" s="9"/>
      <c r="E794" s="9"/>
      <c r="F794" s="9"/>
      <c r="G794" s="9"/>
      <c r="H794" s="74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</row>
    <row r="795">
      <c r="A795" s="9"/>
      <c r="B795" s="9"/>
      <c r="C795" s="9"/>
      <c r="D795" s="9"/>
      <c r="E795" s="9"/>
      <c r="F795" s="9"/>
      <c r="G795" s="9"/>
      <c r="H795" s="74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</row>
    <row r="796">
      <c r="A796" s="9"/>
      <c r="B796" s="9"/>
      <c r="C796" s="9"/>
      <c r="D796" s="9"/>
      <c r="E796" s="9"/>
      <c r="F796" s="9"/>
      <c r="G796" s="9"/>
      <c r="H796" s="74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</row>
    <row r="797">
      <c r="A797" s="9"/>
      <c r="B797" s="9"/>
      <c r="C797" s="9"/>
      <c r="D797" s="9"/>
      <c r="E797" s="9"/>
      <c r="F797" s="9"/>
      <c r="G797" s="9"/>
      <c r="H797" s="74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</row>
    <row r="798">
      <c r="A798" s="9"/>
      <c r="B798" s="9"/>
      <c r="C798" s="9"/>
      <c r="D798" s="9"/>
      <c r="E798" s="9"/>
      <c r="F798" s="9"/>
      <c r="G798" s="9"/>
      <c r="H798" s="74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</row>
    <row r="799">
      <c r="A799" s="9"/>
      <c r="B799" s="9"/>
      <c r="C799" s="9"/>
      <c r="D799" s="9"/>
      <c r="E799" s="9"/>
      <c r="F799" s="9"/>
      <c r="G799" s="9"/>
      <c r="H799" s="74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</row>
    <row r="800">
      <c r="A800" s="9"/>
      <c r="B800" s="9"/>
      <c r="C800" s="9"/>
      <c r="D800" s="9"/>
      <c r="E800" s="9"/>
      <c r="F800" s="9"/>
      <c r="G800" s="9"/>
      <c r="H800" s="74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</row>
    <row r="801">
      <c r="A801" s="9"/>
      <c r="B801" s="9"/>
      <c r="C801" s="9"/>
      <c r="D801" s="9"/>
      <c r="E801" s="9"/>
      <c r="F801" s="9"/>
      <c r="G801" s="9"/>
      <c r="H801" s="74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</row>
    <row r="802">
      <c r="A802" s="9"/>
      <c r="B802" s="9"/>
      <c r="C802" s="9"/>
      <c r="D802" s="9"/>
      <c r="E802" s="9"/>
      <c r="F802" s="9"/>
      <c r="G802" s="9"/>
      <c r="H802" s="74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</row>
    <row r="803">
      <c r="A803" s="9"/>
      <c r="B803" s="9"/>
      <c r="C803" s="9"/>
      <c r="D803" s="9"/>
      <c r="E803" s="9"/>
      <c r="F803" s="9"/>
      <c r="G803" s="9"/>
      <c r="H803" s="74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</row>
    <row r="804">
      <c r="A804" s="9"/>
      <c r="B804" s="9"/>
      <c r="C804" s="9"/>
      <c r="D804" s="9"/>
      <c r="E804" s="9"/>
      <c r="F804" s="9"/>
      <c r="G804" s="9"/>
      <c r="H804" s="74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</row>
    <row r="805">
      <c r="A805" s="9"/>
      <c r="B805" s="9"/>
      <c r="C805" s="9"/>
      <c r="D805" s="9"/>
      <c r="E805" s="9"/>
      <c r="F805" s="9"/>
      <c r="G805" s="9"/>
      <c r="H805" s="74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</row>
    <row r="806">
      <c r="A806" s="9"/>
      <c r="B806" s="9"/>
      <c r="C806" s="9"/>
      <c r="D806" s="9"/>
      <c r="E806" s="9"/>
      <c r="F806" s="9"/>
      <c r="G806" s="9"/>
      <c r="H806" s="74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</row>
    <row r="807">
      <c r="A807" s="9"/>
      <c r="B807" s="9"/>
      <c r="C807" s="9"/>
      <c r="D807" s="9"/>
      <c r="E807" s="9"/>
      <c r="F807" s="9"/>
      <c r="G807" s="9"/>
      <c r="H807" s="74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</row>
    <row r="808">
      <c r="A808" s="9"/>
      <c r="B808" s="9"/>
      <c r="C808" s="9"/>
      <c r="D808" s="9"/>
      <c r="E808" s="9"/>
      <c r="F808" s="9"/>
      <c r="G808" s="9"/>
      <c r="H808" s="74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</row>
    <row r="809">
      <c r="A809" s="9"/>
      <c r="B809" s="9"/>
      <c r="C809" s="9"/>
      <c r="D809" s="9"/>
      <c r="E809" s="9"/>
      <c r="F809" s="9"/>
      <c r="G809" s="9"/>
      <c r="H809" s="74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</row>
    <row r="810">
      <c r="A810" s="9"/>
      <c r="B810" s="9"/>
      <c r="C810" s="9"/>
      <c r="D810" s="9"/>
      <c r="E810" s="9"/>
      <c r="F810" s="9"/>
      <c r="G810" s="9"/>
      <c r="H810" s="74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</row>
    <row r="811">
      <c r="A811" s="9"/>
      <c r="B811" s="9"/>
      <c r="C811" s="9"/>
      <c r="D811" s="9"/>
      <c r="E811" s="9"/>
      <c r="F811" s="9"/>
      <c r="G811" s="9"/>
      <c r="H811" s="74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</row>
    <row r="812">
      <c r="A812" s="9"/>
      <c r="B812" s="9"/>
      <c r="C812" s="9"/>
      <c r="D812" s="9"/>
      <c r="E812" s="9"/>
      <c r="F812" s="9"/>
      <c r="G812" s="9"/>
      <c r="H812" s="74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</row>
    <row r="813">
      <c r="A813" s="9"/>
      <c r="B813" s="9"/>
      <c r="C813" s="9"/>
      <c r="D813" s="9"/>
      <c r="E813" s="9"/>
      <c r="F813" s="9"/>
      <c r="G813" s="9"/>
      <c r="H813" s="74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</row>
    <row r="814">
      <c r="A814" s="9"/>
      <c r="B814" s="9"/>
      <c r="C814" s="9"/>
      <c r="D814" s="9"/>
      <c r="E814" s="9"/>
      <c r="F814" s="9"/>
      <c r="G814" s="9"/>
      <c r="H814" s="74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</row>
    <row r="815">
      <c r="A815" s="9"/>
      <c r="B815" s="9"/>
      <c r="C815" s="9"/>
      <c r="D815" s="9"/>
      <c r="E815" s="9"/>
      <c r="F815" s="9"/>
      <c r="G815" s="9"/>
      <c r="H815" s="74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</row>
    <row r="816">
      <c r="A816" s="9"/>
      <c r="B816" s="9"/>
      <c r="C816" s="9"/>
      <c r="D816" s="9"/>
      <c r="E816" s="9"/>
      <c r="F816" s="9"/>
      <c r="G816" s="9"/>
      <c r="H816" s="74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</row>
    <row r="817">
      <c r="A817" s="9"/>
      <c r="B817" s="9"/>
      <c r="C817" s="9"/>
      <c r="D817" s="9"/>
      <c r="E817" s="9"/>
      <c r="F817" s="9"/>
      <c r="G817" s="9"/>
      <c r="H817" s="74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</row>
    <row r="818">
      <c r="A818" s="9"/>
      <c r="B818" s="9"/>
      <c r="C818" s="9"/>
      <c r="D818" s="9"/>
      <c r="E818" s="9"/>
      <c r="F818" s="9"/>
      <c r="G818" s="9"/>
      <c r="H818" s="74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</row>
    <row r="819">
      <c r="A819" s="9"/>
      <c r="B819" s="9"/>
      <c r="C819" s="9"/>
      <c r="D819" s="9"/>
      <c r="E819" s="9"/>
      <c r="F819" s="9"/>
      <c r="G819" s="9"/>
      <c r="H819" s="74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</row>
    <row r="820">
      <c r="A820" s="9"/>
      <c r="B820" s="9"/>
      <c r="C820" s="9"/>
      <c r="D820" s="9"/>
      <c r="E820" s="9"/>
      <c r="F820" s="9"/>
      <c r="G820" s="9"/>
      <c r="H820" s="74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</row>
    <row r="821">
      <c r="A821" s="9"/>
      <c r="B821" s="9"/>
      <c r="C821" s="9"/>
      <c r="D821" s="9"/>
      <c r="E821" s="9"/>
      <c r="F821" s="9"/>
      <c r="G821" s="9"/>
      <c r="H821" s="74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</row>
    <row r="822">
      <c r="A822" s="9"/>
      <c r="B822" s="9"/>
      <c r="C822" s="9"/>
      <c r="D822" s="9"/>
      <c r="E822" s="9"/>
      <c r="F822" s="9"/>
      <c r="G822" s="9"/>
      <c r="H822" s="74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</row>
    <row r="823">
      <c r="A823" s="9"/>
      <c r="B823" s="9"/>
      <c r="C823" s="9"/>
      <c r="D823" s="9"/>
      <c r="E823" s="9"/>
      <c r="F823" s="9"/>
      <c r="G823" s="9"/>
      <c r="H823" s="74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</row>
    <row r="824">
      <c r="A824" s="9"/>
      <c r="B824" s="9"/>
      <c r="C824" s="9"/>
      <c r="D824" s="9"/>
      <c r="E824" s="9"/>
      <c r="F824" s="9"/>
      <c r="G824" s="9"/>
      <c r="H824" s="74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</row>
    <row r="825">
      <c r="A825" s="9"/>
      <c r="B825" s="9"/>
      <c r="C825" s="9"/>
      <c r="D825" s="9"/>
      <c r="E825" s="9"/>
      <c r="F825" s="9"/>
      <c r="G825" s="9"/>
      <c r="H825" s="74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</row>
    <row r="826">
      <c r="A826" s="9"/>
      <c r="B826" s="9"/>
      <c r="C826" s="9"/>
      <c r="D826" s="9"/>
      <c r="E826" s="9"/>
      <c r="F826" s="9"/>
      <c r="G826" s="9"/>
      <c r="H826" s="74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</row>
    <row r="827">
      <c r="A827" s="9"/>
      <c r="B827" s="9"/>
      <c r="C827" s="9"/>
      <c r="D827" s="9"/>
      <c r="E827" s="9"/>
      <c r="F827" s="9"/>
      <c r="G827" s="9"/>
      <c r="H827" s="74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</row>
    <row r="828">
      <c r="A828" s="9"/>
      <c r="B828" s="9"/>
      <c r="C828" s="9"/>
      <c r="D828" s="9"/>
      <c r="E828" s="9"/>
      <c r="F828" s="9"/>
      <c r="G828" s="9"/>
      <c r="H828" s="74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</row>
    <row r="829">
      <c r="A829" s="9"/>
      <c r="B829" s="9"/>
      <c r="C829" s="9"/>
      <c r="D829" s="9"/>
      <c r="E829" s="9"/>
      <c r="F829" s="9"/>
      <c r="G829" s="9"/>
      <c r="H829" s="74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</row>
    <row r="830">
      <c r="A830" s="9"/>
      <c r="B830" s="9"/>
      <c r="C830" s="9"/>
      <c r="D830" s="9"/>
      <c r="E830" s="9"/>
      <c r="F830" s="9"/>
      <c r="G830" s="9"/>
      <c r="H830" s="74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</row>
    <row r="831">
      <c r="A831" s="9"/>
      <c r="B831" s="9"/>
      <c r="C831" s="9"/>
      <c r="D831" s="9"/>
      <c r="E831" s="9"/>
      <c r="F831" s="9"/>
      <c r="G831" s="9"/>
      <c r="H831" s="74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</row>
    <row r="832">
      <c r="A832" s="9"/>
      <c r="B832" s="9"/>
      <c r="C832" s="9"/>
      <c r="D832" s="9"/>
      <c r="E832" s="9"/>
      <c r="F832" s="9"/>
      <c r="G832" s="9"/>
      <c r="H832" s="74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</row>
    <row r="833">
      <c r="A833" s="9"/>
      <c r="B833" s="9"/>
      <c r="C833" s="9"/>
      <c r="D833" s="9"/>
      <c r="E833" s="9"/>
      <c r="F833" s="9"/>
      <c r="G833" s="9"/>
      <c r="H833" s="74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</row>
    <row r="834">
      <c r="A834" s="9"/>
      <c r="B834" s="9"/>
      <c r="C834" s="9"/>
      <c r="D834" s="9"/>
      <c r="E834" s="9"/>
      <c r="F834" s="9"/>
      <c r="G834" s="9"/>
      <c r="H834" s="74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</row>
    <row r="835">
      <c r="A835" s="9"/>
      <c r="B835" s="9"/>
      <c r="C835" s="9"/>
      <c r="D835" s="9"/>
      <c r="E835" s="9"/>
      <c r="F835" s="9"/>
      <c r="G835" s="9"/>
      <c r="H835" s="74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</row>
    <row r="836">
      <c r="A836" s="9"/>
      <c r="B836" s="9"/>
      <c r="C836" s="9"/>
      <c r="D836" s="9"/>
      <c r="E836" s="9"/>
      <c r="F836" s="9"/>
      <c r="G836" s="9"/>
      <c r="H836" s="74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</row>
    <row r="837">
      <c r="A837" s="9"/>
      <c r="B837" s="9"/>
      <c r="C837" s="9"/>
      <c r="D837" s="9"/>
      <c r="E837" s="9"/>
      <c r="F837" s="9"/>
      <c r="G837" s="9"/>
      <c r="H837" s="74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</row>
    <row r="838">
      <c r="A838" s="9"/>
      <c r="B838" s="9"/>
      <c r="C838" s="9"/>
      <c r="D838" s="9"/>
      <c r="E838" s="9"/>
      <c r="F838" s="9"/>
      <c r="G838" s="9"/>
      <c r="H838" s="74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</row>
    <row r="839">
      <c r="A839" s="9"/>
      <c r="B839" s="9"/>
      <c r="C839" s="9"/>
      <c r="D839" s="9"/>
      <c r="E839" s="9"/>
      <c r="F839" s="9"/>
      <c r="G839" s="9"/>
      <c r="H839" s="74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</row>
    <row r="840">
      <c r="A840" s="9"/>
      <c r="B840" s="9"/>
      <c r="C840" s="9"/>
      <c r="D840" s="9"/>
      <c r="E840" s="9"/>
      <c r="F840" s="9"/>
      <c r="G840" s="9"/>
      <c r="H840" s="74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</row>
    <row r="841">
      <c r="A841" s="9"/>
      <c r="B841" s="9"/>
      <c r="C841" s="9"/>
      <c r="D841" s="9"/>
      <c r="E841" s="9"/>
      <c r="F841" s="9"/>
      <c r="G841" s="9"/>
      <c r="H841" s="74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</row>
    <row r="842">
      <c r="A842" s="9"/>
      <c r="B842" s="9"/>
      <c r="C842" s="9"/>
      <c r="D842" s="9"/>
      <c r="E842" s="9"/>
      <c r="F842" s="9"/>
      <c r="G842" s="9"/>
      <c r="H842" s="74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</row>
    <row r="843">
      <c r="A843" s="9"/>
      <c r="B843" s="9"/>
      <c r="C843" s="9"/>
      <c r="D843" s="9"/>
      <c r="E843" s="9"/>
      <c r="F843" s="9"/>
      <c r="G843" s="9"/>
      <c r="H843" s="74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</row>
    <row r="844">
      <c r="A844" s="9"/>
      <c r="B844" s="9"/>
      <c r="C844" s="9"/>
      <c r="D844" s="9"/>
      <c r="E844" s="9"/>
      <c r="F844" s="9"/>
      <c r="G844" s="9"/>
      <c r="H844" s="74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</row>
    <row r="845">
      <c r="A845" s="9"/>
      <c r="B845" s="9"/>
      <c r="C845" s="9"/>
      <c r="D845" s="9"/>
      <c r="E845" s="9"/>
      <c r="F845" s="9"/>
      <c r="G845" s="9"/>
      <c r="H845" s="74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</row>
    <row r="846">
      <c r="A846" s="9"/>
      <c r="B846" s="9"/>
      <c r="C846" s="9"/>
      <c r="D846" s="9"/>
      <c r="E846" s="9"/>
      <c r="F846" s="9"/>
      <c r="G846" s="9"/>
      <c r="H846" s="74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</row>
    <row r="847">
      <c r="A847" s="9"/>
      <c r="B847" s="9"/>
      <c r="C847" s="9"/>
      <c r="D847" s="9"/>
      <c r="E847" s="9"/>
      <c r="F847" s="9"/>
      <c r="G847" s="9"/>
      <c r="H847" s="74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</row>
    <row r="848">
      <c r="A848" s="9"/>
      <c r="B848" s="9"/>
      <c r="C848" s="9"/>
      <c r="D848" s="9"/>
      <c r="E848" s="9"/>
      <c r="F848" s="9"/>
      <c r="G848" s="9"/>
      <c r="H848" s="74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</row>
    <row r="849">
      <c r="A849" s="9"/>
      <c r="B849" s="9"/>
      <c r="C849" s="9"/>
      <c r="D849" s="9"/>
      <c r="E849" s="9"/>
      <c r="F849" s="9"/>
      <c r="G849" s="9"/>
      <c r="H849" s="74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</row>
    <row r="850">
      <c r="A850" s="9"/>
      <c r="B850" s="9"/>
      <c r="C850" s="9"/>
      <c r="D850" s="9"/>
      <c r="E850" s="9"/>
      <c r="F850" s="9"/>
      <c r="G850" s="9"/>
      <c r="H850" s="74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</row>
    <row r="851">
      <c r="A851" s="9"/>
      <c r="B851" s="9"/>
      <c r="C851" s="9"/>
      <c r="D851" s="9"/>
      <c r="E851" s="9"/>
      <c r="F851" s="9"/>
      <c r="G851" s="9"/>
      <c r="H851" s="74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</row>
    <row r="852">
      <c r="A852" s="9"/>
      <c r="B852" s="9"/>
      <c r="C852" s="9"/>
      <c r="D852" s="9"/>
      <c r="E852" s="9"/>
      <c r="F852" s="9"/>
      <c r="G852" s="9"/>
      <c r="H852" s="74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</row>
    <row r="853">
      <c r="A853" s="9"/>
      <c r="B853" s="9"/>
      <c r="C853" s="9"/>
      <c r="D853" s="9"/>
      <c r="E853" s="9"/>
      <c r="F853" s="9"/>
      <c r="G853" s="9"/>
      <c r="H853" s="74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</row>
    <row r="854">
      <c r="A854" s="9"/>
      <c r="B854" s="9"/>
      <c r="C854" s="9"/>
      <c r="D854" s="9"/>
      <c r="E854" s="9"/>
      <c r="F854" s="9"/>
      <c r="G854" s="9"/>
      <c r="H854" s="74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</row>
    <row r="855">
      <c r="A855" s="9"/>
      <c r="B855" s="9"/>
      <c r="C855" s="9"/>
      <c r="D855" s="9"/>
      <c r="E855" s="9"/>
      <c r="F855" s="9"/>
      <c r="G855" s="9"/>
      <c r="H855" s="74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</row>
    <row r="856">
      <c r="A856" s="9"/>
      <c r="B856" s="9"/>
      <c r="C856" s="9"/>
      <c r="D856" s="9"/>
      <c r="E856" s="9"/>
      <c r="F856" s="9"/>
      <c r="G856" s="9"/>
      <c r="H856" s="74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</row>
    <row r="857">
      <c r="A857" s="9"/>
      <c r="B857" s="9"/>
      <c r="C857" s="9"/>
      <c r="D857" s="9"/>
      <c r="E857" s="9"/>
      <c r="F857" s="9"/>
      <c r="G857" s="9"/>
      <c r="H857" s="74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</row>
    <row r="858">
      <c r="A858" s="9"/>
      <c r="B858" s="9"/>
      <c r="C858" s="9"/>
      <c r="D858" s="9"/>
      <c r="E858" s="9"/>
      <c r="F858" s="9"/>
      <c r="G858" s="9"/>
      <c r="H858" s="74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</row>
    <row r="859">
      <c r="A859" s="9"/>
      <c r="B859" s="9"/>
      <c r="C859" s="9"/>
      <c r="D859" s="9"/>
      <c r="E859" s="9"/>
      <c r="F859" s="9"/>
      <c r="G859" s="9"/>
      <c r="H859" s="74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</row>
    <row r="860">
      <c r="A860" s="9"/>
      <c r="B860" s="9"/>
      <c r="C860" s="9"/>
      <c r="D860" s="9"/>
      <c r="E860" s="9"/>
      <c r="F860" s="9"/>
      <c r="G860" s="9"/>
      <c r="H860" s="74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</row>
    <row r="861">
      <c r="A861" s="9"/>
      <c r="B861" s="9"/>
      <c r="C861" s="9"/>
      <c r="D861" s="9"/>
      <c r="E861" s="9"/>
      <c r="F861" s="9"/>
      <c r="G861" s="9"/>
      <c r="H861" s="74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</row>
    <row r="862">
      <c r="A862" s="9"/>
      <c r="B862" s="9"/>
      <c r="C862" s="9"/>
      <c r="D862" s="9"/>
      <c r="E862" s="9"/>
      <c r="F862" s="9"/>
      <c r="G862" s="9"/>
      <c r="H862" s="74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</row>
    <row r="863">
      <c r="A863" s="9"/>
      <c r="B863" s="9"/>
      <c r="C863" s="9"/>
      <c r="D863" s="9"/>
      <c r="E863" s="9"/>
      <c r="F863" s="9"/>
      <c r="G863" s="9"/>
      <c r="H863" s="74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</row>
    <row r="864">
      <c r="A864" s="9"/>
      <c r="B864" s="9"/>
      <c r="C864" s="9"/>
      <c r="D864" s="9"/>
      <c r="E864" s="9"/>
      <c r="F864" s="9"/>
      <c r="G864" s="9"/>
      <c r="H864" s="74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</row>
    <row r="865">
      <c r="A865" s="9"/>
      <c r="B865" s="9"/>
      <c r="C865" s="9"/>
      <c r="D865" s="9"/>
      <c r="E865" s="9"/>
      <c r="F865" s="9"/>
      <c r="G865" s="9"/>
      <c r="H865" s="74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</row>
    <row r="866">
      <c r="A866" s="9"/>
      <c r="B866" s="9"/>
      <c r="C866" s="9"/>
      <c r="D866" s="9"/>
      <c r="E866" s="9"/>
      <c r="F866" s="9"/>
      <c r="G866" s="9"/>
      <c r="H866" s="74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</row>
    <row r="867">
      <c r="A867" s="9"/>
      <c r="B867" s="9"/>
      <c r="C867" s="9"/>
      <c r="D867" s="9"/>
      <c r="E867" s="9"/>
      <c r="F867" s="9"/>
      <c r="G867" s="9"/>
      <c r="H867" s="74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</row>
    <row r="868">
      <c r="A868" s="9"/>
      <c r="B868" s="9"/>
      <c r="C868" s="9"/>
      <c r="D868" s="9"/>
      <c r="E868" s="9"/>
      <c r="F868" s="9"/>
      <c r="G868" s="9"/>
      <c r="H868" s="74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</row>
    <row r="869">
      <c r="A869" s="9"/>
      <c r="B869" s="9"/>
      <c r="C869" s="9"/>
      <c r="D869" s="9"/>
      <c r="E869" s="9"/>
      <c r="F869" s="9"/>
      <c r="G869" s="9"/>
      <c r="H869" s="74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</row>
    <row r="870">
      <c r="A870" s="9"/>
      <c r="B870" s="9"/>
      <c r="C870" s="9"/>
      <c r="D870" s="9"/>
      <c r="E870" s="9"/>
      <c r="F870" s="9"/>
      <c r="G870" s="9"/>
      <c r="H870" s="74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</row>
    <row r="871">
      <c r="A871" s="9"/>
      <c r="B871" s="9"/>
      <c r="C871" s="9"/>
      <c r="D871" s="9"/>
      <c r="E871" s="9"/>
      <c r="F871" s="9"/>
      <c r="G871" s="9"/>
      <c r="H871" s="74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</row>
    <row r="872">
      <c r="A872" s="9"/>
      <c r="B872" s="9"/>
      <c r="C872" s="9"/>
      <c r="D872" s="9"/>
      <c r="E872" s="9"/>
      <c r="F872" s="9"/>
      <c r="G872" s="9"/>
      <c r="H872" s="74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</row>
    <row r="873">
      <c r="A873" s="9"/>
      <c r="B873" s="9"/>
      <c r="C873" s="9"/>
      <c r="D873" s="9"/>
      <c r="E873" s="9"/>
      <c r="F873" s="9"/>
      <c r="G873" s="9"/>
      <c r="H873" s="74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</row>
    <row r="874">
      <c r="A874" s="9"/>
      <c r="B874" s="9"/>
      <c r="C874" s="9"/>
      <c r="D874" s="9"/>
      <c r="E874" s="9"/>
      <c r="F874" s="9"/>
      <c r="G874" s="9"/>
      <c r="H874" s="74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</row>
    <row r="875">
      <c r="A875" s="9"/>
      <c r="B875" s="9"/>
      <c r="C875" s="9"/>
      <c r="D875" s="9"/>
      <c r="E875" s="9"/>
      <c r="F875" s="9"/>
      <c r="G875" s="9"/>
      <c r="H875" s="74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</row>
    <row r="876">
      <c r="A876" s="9"/>
      <c r="B876" s="9"/>
      <c r="C876" s="9"/>
      <c r="D876" s="9"/>
      <c r="E876" s="9"/>
      <c r="F876" s="9"/>
      <c r="G876" s="9"/>
      <c r="H876" s="74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</row>
    <row r="877">
      <c r="A877" s="9"/>
      <c r="B877" s="9"/>
      <c r="C877" s="9"/>
      <c r="D877" s="9"/>
      <c r="E877" s="9"/>
      <c r="F877" s="9"/>
      <c r="G877" s="9"/>
      <c r="H877" s="74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</row>
    <row r="878">
      <c r="A878" s="9"/>
      <c r="B878" s="9"/>
      <c r="C878" s="9"/>
      <c r="D878" s="9"/>
      <c r="E878" s="9"/>
      <c r="F878" s="9"/>
      <c r="G878" s="9"/>
      <c r="H878" s="74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</row>
    <row r="879">
      <c r="A879" s="9"/>
      <c r="B879" s="9"/>
      <c r="C879" s="9"/>
      <c r="D879" s="9"/>
      <c r="E879" s="9"/>
      <c r="F879" s="9"/>
      <c r="G879" s="9"/>
      <c r="H879" s="74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</row>
    <row r="880">
      <c r="A880" s="9"/>
      <c r="B880" s="9"/>
      <c r="C880" s="9"/>
      <c r="D880" s="9"/>
      <c r="E880" s="9"/>
      <c r="F880" s="9"/>
      <c r="G880" s="9"/>
      <c r="H880" s="74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</row>
    <row r="881">
      <c r="A881" s="9"/>
      <c r="B881" s="9"/>
      <c r="C881" s="9"/>
      <c r="D881" s="9"/>
      <c r="E881" s="9"/>
      <c r="F881" s="9"/>
      <c r="G881" s="9"/>
      <c r="H881" s="74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</row>
    <row r="882">
      <c r="A882" s="9"/>
      <c r="B882" s="9"/>
      <c r="C882" s="9"/>
      <c r="D882" s="9"/>
      <c r="E882" s="9"/>
      <c r="F882" s="9"/>
      <c r="G882" s="9"/>
      <c r="H882" s="74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</row>
    <row r="883">
      <c r="A883" s="9"/>
      <c r="B883" s="9"/>
      <c r="C883" s="9"/>
      <c r="D883" s="9"/>
      <c r="E883" s="9"/>
      <c r="F883" s="9"/>
      <c r="G883" s="9"/>
      <c r="H883" s="74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</row>
    <row r="884">
      <c r="A884" s="9"/>
      <c r="B884" s="9"/>
      <c r="C884" s="9"/>
      <c r="D884" s="9"/>
      <c r="E884" s="9"/>
      <c r="F884" s="9"/>
      <c r="G884" s="9"/>
      <c r="H884" s="74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</row>
    <row r="885">
      <c r="A885" s="9"/>
      <c r="B885" s="9"/>
      <c r="C885" s="9"/>
      <c r="D885" s="9"/>
      <c r="E885" s="9"/>
      <c r="F885" s="9"/>
      <c r="G885" s="9"/>
      <c r="H885" s="74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</row>
    <row r="886">
      <c r="A886" s="9"/>
      <c r="B886" s="9"/>
      <c r="C886" s="9"/>
      <c r="D886" s="9"/>
      <c r="E886" s="9"/>
      <c r="F886" s="9"/>
      <c r="G886" s="9"/>
      <c r="H886" s="74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</row>
    <row r="887">
      <c r="A887" s="9"/>
      <c r="B887" s="9"/>
      <c r="C887" s="9"/>
      <c r="D887" s="9"/>
      <c r="E887" s="9"/>
      <c r="F887" s="9"/>
      <c r="G887" s="9"/>
      <c r="H887" s="74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</row>
    <row r="888">
      <c r="A888" s="9"/>
      <c r="B888" s="9"/>
      <c r="C888" s="9"/>
      <c r="D888" s="9"/>
      <c r="E888" s="9"/>
      <c r="F888" s="9"/>
      <c r="G888" s="9"/>
      <c r="H888" s="74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</row>
    <row r="889">
      <c r="A889" s="9"/>
      <c r="B889" s="9"/>
      <c r="C889" s="9"/>
      <c r="D889" s="9"/>
      <c r="E889" s="9"/>
      <c r="F889" s="9"/>
      <c r="G889" s="9"/>
      <c r="H889" s="74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</row>
    <row r="890">
      <c r="A890" s="9"/>
      <c r="B890" s="9"/>
      <c r="C890" s="9"/>
      <c r="D890" s="9"/>
      <c r="E890" s="9"/>
      <c r="F890" s="9"/>
      <c r="G890" s="9"/>
      <c r="H890" s="74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</row>
    <row r="891">
      <c r="A891" s="9"/>
      <c r="B891" s="9"/>
      <c r="C891" s="9"/>
      <c r="D891" s="9"/>
      <c r="E891" s="9"/>
      <c r="F891" s="9"/>
      <c r="G891" s="9"/>
      <c r="H891" s="74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</row>
    <row r="892">
      <c r="A892" s="9"/>
      <c r="B892" s="9"/>
      <c r="C892" s="9"/>
      <c r="D892" s="9"/>
      <c r="E892" s="9"/>
      <c r="F892" s="9"/>
      <c r="G892" s="9"/>
      <c r="H892" s="74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</row>
    <row r="893">
      <c r="A893" s="9"/>
      <c r="B893" s="9"/>
      <c r="C893" s="9"/>
      <c r="D893" s="9"/>
      <c r="E893" s="9"/>
      <c r="F893" s="9"/>
      <c r="G893" s="9"/>
      <c r="H893" s="74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</row>
    <row r="894">
      <c r="A894" s="9"/>
      <c r="B894" s="9"/>
      <c r="C894" s="9"/>
      <c r="D894" s="9"/>
      <c r="E894" s="9"/>
      <c r="F894" s="9"/>
      <c r="G894" s="9"/>
      <c r="H894" s="74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</row>
    <row r="895">
      <c r="A895" s="9"/>
      <c r="B895" s="9"/>
      <c r="C895" s="9"/>
      <c r="D895" s="9"/>
      <c r="E895" s="9"/>
      <c r="F895" s="9"/>
      <c r="G895" s="9"/>
      <c r="H895" s="74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</row>
    <row r="896">
      <c r="A896" s="9"/>
      <c r="B896" s="9"/>
      <c r="C896" s="9"/>
      <c r="D896" s="9"/>
      <c r="E896" s="9"/>
      <c r="F896" s="9"/>
      <c r="G896" s="9"/>
      <c r="H896" s="74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</row>
    <row r="897">
      <c r="A897" s="9"/>
      <c r="B897" s="9"/>
      <c r="C897" s="9"/>
      <c r="D897" s="9"/>
      <c r="E897" s="9"/>
      <c r="F897" s="9"/>
      <c r="G897" s="9"/>
      <c r="H897" s="74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</row>
    <row r="898">
      <c r="A898" s="9"/>
      <c r="B898" s="9"/>
      <c r="C898" s="9"/>
      <c r="D898" s="9"/>
      <c r="E898" s="9"/>
      <c r="F898" s="9"/>
      <c r="G898" s="9"/>
      <c r="H898" s="74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</row>
    <row r="899">
      <c r="A899" s="9"/>
      <c r="B899" s="9"/>
      <c r="C899" s="9"/>
      <c r="D899" s="9"/>
      <c r="E899" s="9"/>
      <c r="F899" s="9"/>
      <c r="G899" s="9"/>
      <c r="H899" s="74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</row>
    <row r="900">
      <c r="A900" s="9"/>
      <c r="B900" s="9"/>
      <c r="C900" s="9"/>
      <c r="D900" s="9"/>
      <c r="E900" s="9"/>
      <c r="F900" s="9"/>
      <c r="G900" s="9"/>
      <c r="H900" s="74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</row>
    <row r="901">
      <c r="A901" s="9"/>
      <c r="B901" s="9"/>
      <c r="C901" s="9"/>
      <c r="D901" s="9"/>
      <c r="E901" s="9"/>
      <c r="F901" s="9"/>
      <c r="G901" s="9"/>
      <c r="H901" s="74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</row>
    <row r="902">
      <c r="A902" s="9"/>
      <c r="B902" s="9"/>
      <c r="C902" s="9"/>
      <c r="D902" s="9"/>
      <c r="E902" s="9"/>
      <c r="F902" s="9"/>
      <c r="G902" s="9"/>
      <c r="H902" s="74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</row>
    <row r="903">
      <c r="A903" s="9"/>
      <c r="B903" s="9"/>
      <c r="C903" s="9"/>
      <c r="D903" s="9"/>
      <c r="E903" s="9"/>
      <c r="F903" s="9"/>
      <c r="G903" s="9"/>
      <c r="H903" s="74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</row>
    <row r="904">
      <c r="A904" s="9"/>
      <c r="B904" s="9"/>
      <c r="C904" s="9"/>
      <c r="D904" s="9"/>
      <c r="E904" s="9"/>
      <c r="F904" s="9"/>
      <c r="G904" s="9"/>
      <c r="H904" s="74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</row>
    <row r="905">
      <c r="A905" s="9"/>
      <c r="B905" s="9"/>
      <c r="C905" s="9"/>
      <c r="D905" s="9"/>
      <c r="E905" s="9"/>
      <c r="F905" s="9"/>
      <c r="G905" s="9"/>
      <c r="H905" s="74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</row>
    <row r="906">
      <c r="A906" s="9"/>
      <c r="B906" s="9"/>
      <c r="C906" s="9"/>
      <c r="D906" s="9"/>
      <c r="E906" s="9"/>
      <c r="F906" s="9"/>
      <c r="G906" s="9"/>
      <c r="H906" s="74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</row>
    <row r="907">
      <c r="A907" s="9"/>
      <c r="B907" s="9"/>
      <c r="C907" s="9"/>
      <c r="D907" s="9"/>
      <c r="E907" s="9"/>
      <c r="F907" s="9"/>
      <c r="G907" s="9"/>
      <c r="H907" s="74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</row>
    <row r="908">
      <c r="A908" s="9"/>
      <c r="B908" s="9"/>
      <c r="C908" s="9"/>
      <c r="D908" s="9"/>
      <c r="E908" s="9"/>
      <c r="F908" s="9"/>
      <c r="G908" s="9"/>
      <c r="H908" s="74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</row>
    <row r="909">
      <c r="A909" s="9"/>
      <c r="B909" s="9"/>
      <c r="C909" s="9"/>
      <c r="D909" s="9"/>
      <c r="E909" s="9"/>
      <c r="F909" s="9"/>
      <c r="G909" s="9"/>
      <c r="H909" s="74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</row>
    <row r="910">
      <c r="A910" s="9"/>
      <c r="B910" s="9"/>
      <c r="C910" s="9"/>
      <c r="D910" s="9"/>
      <c r="E910" s="9"/>
      <c r="F910" s="9"/>
      <c r="G910" s="9"/>
      <c r="H910" s="74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</row>
    <row r="911">
      <c r="A911" s="9"/>
      <c r="B911" s="9"/>
      <c r="C911" s="9"/>
      <c r="D911" s="9"/>
      <c r="E911" s="9"/>
      <c r="F911" s="9"/>
      <c r="G911" s="9"/>
      <c r="H911" s="74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</row>
    <row r="912">
      <c r="A912" s="9"/>
      <c r="B912" s="9"/>
      <c r="C912" s="9"/>
      <c r="D912" s="9"/>
      <c r="E912" s="9"/>
      <c r="F912" s="9"/>
      <c r="G912" s="9"/>
      <c r="H912" s="74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</row>
    <row r="913">
      <c r="A913" s="9"/>
      <c r="B913" s="9"/>
      <c r="C913" s="9"/>
      <c r="D913" s="9"/>
      <c r="E913" s="9"/>
      <c r="F913" s="9"/>
      <c r="G913" s="9"/>
      <c r="H913" s="74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</row>
    <row r="914">
      <c r="A914" s="9"/>
      <c r="B914" s="9"/>
      <c r="C914" s="9"/>
      <c r="D914" s="9"/>
      <c r="E914" s="9"/>
      <c r="F914" s="9"/>
      <c r="G914" s="9"/>
      <c r="H914" s="74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</row>
    <row r="915">
      <c r="A915" s="9"/>
      <c r="B915" s="9"/>
      <c r="C915" s="9"/>
      <c r="D915" s="9"/>
      <c r="E915" s="9"/>
      <c r="F915" s="9"/>
      <c r="G915" s="9"/>
      <c r="H915" s="74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</row>
    <row r="916">
      <c r="A916" s="9"/>
      <c r="B916" s="9"/>
      <c r="C916" s="9"/>
      <c r="D916" s="9"/>
      <c r="E916" s="9"/>
      <c r="F916" s="9"/>
      <c r="G916" s="9"/>
      <c r="H916" s="74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</row>
    <row r="917">
      <c r="A917" s="9"/>
      <c r="B917" s="9"/>
      <c r="C917" s="9"/>
      <c r="D917" s="9"/>
      <c r="E917" s="9"/>
      <c r="F917" s="9"/>
      <c r="G917" s="9"/>
      <c r="H917" s="74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</row>
    <row r="918">
      <c r="A918" s="9"/>
      <c r="B918" s="9"/>
      <c r="C918" s="9"/>
      <c r="D918" s="9"/>
      <c r="E918" s="9"/>
      <c r="F918" s="9"/>
      <c r="G918" s="9"/>
      <c r="H918" s="74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</row>
    <row r="919">
      <c r="A919" s="9"/>
      <c r="B919" s="9"/>
      <c r="C919" s="9"/>
      <c r="D919" s="9"/>
      <c r="E919" s="9"/>
      <c r="F919" s="9"/>
      <c r="G919" s="9"/>
      <c r="H919" s="74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</row>
    <row r="920">
      <c r="A920" s="9"/>
      <c r="B920" s="9"/>
      <c r="C920" s="9"/>
      <c r="D920" s="9"/>
      <c r="E920" s="9"/>
      <c r="F920" s="9"/>
      <c r="G920" s="9"/>
      <c r="H920" s="74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</row>
    <row r="921">
      <c r="A921" s="9"/>
      <c r="B921" s="9"/>
      <c r="C921" s="9"/>
      <c r="D921" s="9"/>
      <c r="E921" s="9"/>
      <c r="F921" s="9"/>
      <c r="G921" s="9"/>
      <c r="H921" s="74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</row>
    <row r="922">
      <c r="A922" s="9"/>
      <c r="B922" s="9"/>
      <c r="C922" s="9"/>
      <c r="D922" s="9"/>
      <c r="E922" s="9"/>
      <c r="F922" s="9"/>
      <c r="G922" s="9"/>
      <c r="H922" s="74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</row>
    <row r="923">
      <c r="A923" s="9"/>
      <c r="B923" s="9"/>
      <c r="C923" s="9"/>
      <c r="D923" s="9"/>
      <c r="E923" s="9"/>
      <c r="F923" s="9"/>
      <c r="G923" s="9"/>
      <c r="H923" s="74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</row>
    <row r="924">
      <c r="A924" s="9"/>
      <c r="B924" s="9"/>
      <c r="C924" s="9"/>
      <c r="D924" s="9"/>
      <c r="E924" s="9"/>
      <c r="F924" s="9"/>
      <c r="G924" s="9"/>
      <c r="H924" s="74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</row>
    <row r="925">
      <c r="A925" s="9"/>
      <c r="B925" s="9"/>
      <c r="C925" s="9"/>
      <c r="D925" s="9"/>
      <c r="E925" s="9"/>
      <c r="F925" s="9"/>
      <c r="G925" s="9"/>
      <c r="H925" s="74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</row>
    <row r="926">
      <c r="A926" s="9"/>
      <c r="B926" s="9"/>
      <c r="C926" s="9"/>
      <c r="D926" s="9"/>
      <c r="E926" s="9"/>
      <c r="F926" s="9"/>
      <c r="G926" s="9"/>
      <c r="H926" s="74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</row>
    <row r="927">
      <c r="A927" s="9"/>
      <c r="B927" s="9"/>
      <c r="C927" s="9"/>
      <c r="D927" s="9"/>
      <c r="E927" s="9"/>
      <c r="F927" s="9"/>
      <c r="G927" s="9"/>
      <c r="H927" s="74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</row>
    <row r="928">
      <c r="A928" s="9"/>
      <c r="B928" s="9"/>
      <c r="C928" s="9"/>
      <c r="D928" s="9"/>
      <c r="E928" s="9"/>
      <c r="F928" s="9"/>
      <c r="G928" s="9"/>
      <c r="H928" s="74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</row>
    <row r="929">
      <c r="A929" s="9"/>
      <c r="B929" s="9"/>
      <c r="C929" s="9"/>
      <c r="D929" s="9"/>
      <c r="E929" s="9"/>
      <c r="F929" s="9"/>
      <c r="G929" s="9"/>
      <c r="H929" s="74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</row>
    <row r="930">
      <c r="A930" s="9"/>
      <c r="B930" s="9"/>
      <c r="C930" s="9"/>
      <c r="D930" s="9"/>
      <c r="E930" s="9"/>
      <c r="F930" s="9"/>
      <c r="G930" s="9"/>
      <c r="H930" s="74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</row>
    <row r="931">
      <c r="A931" s="9"/>
      <c r="B931" s="9"/>
      <c r="C931" s="9"/>
      <c r="D931" s="9"/>
      <c r="E931" s="9"/>
      <c r="F931" s="9"/>
      <c r="G931" s="9"/>
      <c r="H931" s="74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</row>
    <row r="932">
      <c r="A932" s="9"/>
      <c r="B932" s="9"/>
      <c r="C932" s="9"/>
      <c r="D932" s="9"/>
      <c r="E932" s="9"/>
      <c r="F932" s="9"/>
      <c r="G932" s="9"/>
      <c r="H932" s="74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</row>
    <row r="933">
      <c r="A933" s="9"/>
      <c r="B933" s="9"/>
      <c r="C933" s="9"/>
      <c r="D933" s="9"/>
      <c r="E933" s="9"/>
      <c r="F933" s="9"/>
      <c r="G933" s="9"/>
      <c r="H933" s="74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</row>
    <row r="934">
      <c r="A934" s="9"/>
      <c r="B934" s="9"/>
      <c r="C934" s="9"/>
      <c r="D934" s="9"/>
      <c r="E934" s="9"/>
      <c r="F934" s="9"/>
      <c r="G934" s="9"/>
      <c r="H934" s="74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</row>
    <row r="935">
      <c r="A935" s="9"/>
      <c r="B935" s="9"/>
      <c r="C935" s="9"/>
      <c r="D935" s="9"/>
      <c r="E935" s="9"/>
      <c r="F935" s="9"/>
      <c r="G935" s="9"/>
      <c r="H935" s="74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</row>
    <row r="936">
      <c r="A936" s="9"/>
      <c r="B936" s="9"/>
      <c r="C936" s="9"/>
      <c r="D936" s="9"/>
      <c r="E936" s="9"/>
      <c r="F936" s="9"/>
      <c r="G936" s="9"/>
      <c r="H936" s="74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</row>
    <row r="937">
      <c r="A937" s="9"/>
      <c r="B937" s="9"/>
      <c r="C937" s="9"/>
      <c r="D937" s="9"/>
      <c r="E937" s="9"/>
      <c r="F937" s="9"/>
      <c r="G937" s="9"/>
      <c r="H937" s="74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</row>
    <row r="938">
      <c r="A938" s="9"/>
      <c r="B938" s="9"/>
      <c r="C938" s="9"/>
      <c r="D938" s="9"/>
      <c r="E938" s="9"/>
      <c r="F938" s="9"/>
      <c r="G938" s="9"/>
      <c r="H938" s="74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</row>
    <row r="939">
      <c r="A939" s="9"/>
      <c r="B939" s="9"/>
      <c r="C939" s="9"/>
      <c r="D939" s="9"/>
      <c r="E939" s="9"/>
      <c r="F939" s="9"/>
      <c r="G939" s="9"/>
      <c r="H939" s="74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</row>
    <row r="940">
      <c r="A940" s="9"/>
      <c r="B940" s="9"/>
      <c r="C940" s="9"/>
      <c r="D940" s="9"/>
      <c r="E940" s="9"/>
      <c r="F940" s="9"/>
      <c r="G940" s="9"/>
      <c r="H940" s="74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</row>
    <row r="941">
      <c r="A941" s="9"/>
      <c r="B941" s="9"/>
      <c r="C941" s="9"/>
      <c r="D941" s="9"/>
      <c r="E941" s="9"/>
      <c r="F941" s="9"/>
      <c r="G941" s="9"/>
      <c r="H941" s="74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</row>
    <row r="942">
      <c r="A942" s="9"/>
      <c r="B942" s="9"/>
      <c r="C942" s="9"/>
      <c r="D942" s="9"/>
      <c r="E942" s="9"/>
      <c r="F942" s="9"/>
      <c r="G942" s="9"/>
      <c r="H942" s="74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</row>
    <row r="943">
      <c r="A943" s="9"/>
      <c r="B943" s="9"/>
      <c r="C943" s="9"/>
      <c r="D943" s="9"/>
      <c r="E943" s="9"/>
      <c r="F943" s="9"/>
      <c r="G943" s="9"/>
      <c r="H943" s="74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</row>
    <row r="944">
      <c r="A944" s="9"/>
      <c r="B944" s="9"/>
      <c r="C944" s="9"/>
      <c r="D944" s="9"/>
      <c r="E944" s="9"/>
      <c r="F944" s="9"/>
      <c r="G944" s="9"/>
      <c r="H944" s="74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</row>
    <row r="945">
      <c r="A945" s="9"/>
      <c r="B945" s="9"/>
      <c r="C945" s="9"/>
      <c r="D945" s="9"/>
      <c r="E945" s="9"/>
      <c r="F945" s="9"/>
      <c r="G945" s="9"/>
      <c r="H945" s="74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</row>
    <row r="946">
      <c r="A946" s="9"/>
      <c r="B946" s="9"/>
      <c r="C946" s="9"/>
      <c r="D946" s="9"/>
      <c r="E946" s="9"/>
      <c r="F946" s="9"/>
      <c r="G946" s="9"/>
      <c r="H946" s="74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</row>
    <row r="947">
      <c r="A947" s="9"/>
      <c r="B947" s="9"/>
      <c r="C947" s="9"/>
      <c r="D947" s="9"/>
      <c r="E947" s="9"/>
      <c r="F947" s="9"/>
      <c r="G947" s="9"/>
      <c r="H947" s="74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</row>
    <row r="948">
      <c r="A948" s="9"/>
      <c r="B948" s="9"/>
      <c r="C948" s="9"/>
      <c r="D948" s="9"/>
      <c r="E948" s="9"/>
      <c r="F948" s="9"/>
      <c r="G948" s="9"/>
      <c r="H948" s="74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</row>
    <row r="949">
      <c r="A949" s="9"/>
      <c r="B949" s="9"/>
      <c r="C949" s="9"/>
      <c r="D949" s="9"/>
      <c r="E949" s="9"/>
      <c r="F949" s="9"/>
      <c r="G949" s="9"/>
      <c r="H949" s="74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</row>
    <row r="950">
      <c r="A950" s="9"/>
      <c r="B950" s="9"/>
      <c r="C950" s="9"/>
      <c r="D950" s="9"/>
      <c r="E950" s="9"/>
      <c r="F950" s="9"/>
      <c r="G950" s="9"/>
      <c r="H950" s="74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</row>
    <row r="951">
      <c r="A951" s="9"/>
      <c r="B951" s="9"/>
      <c r="C951" s="9"/>
      <c r="D951" s="9"/>
      <c r="E951" s="9"/>
      <c r="F951" s="9"/>
      <c r="G951" s="9"/>
      <c r="H951" s="74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</row>
    <row r="952">
      <c r="A952" s="9"/>
      <c r="B952" s="9"/>
      <c r="C952" s="9"/>
      <c r="D952" s="9"/>
      <c r="E952" s="9"/>
      <c r="F952" s="9"/>
      <c r="G952" s="9"/>
      <c r="H952" s="74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</row>
    <row r="953">
      <c r="A953" s="9"/>
      <c r="B953" s="9"/>
      <c r="C953" s="9"/>
      <c r="D953" s="9"/>
      <c r="E953" s="9"/>
      <c r="F953" s="9"/>
      <c r="G953" s="9"/>
      <c r="H953" s="74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</row>
    <row r="954">
      <c r="A954" s="9"/>
      <c r="B954" s="9"/>
      <c r="C954" s="9"/>
      <c r="D954" s="9"/>
      <c r="E954" s="9"/>
      <c r="F954" s="9"/>
      <c r="G954" s="9"/>
      <c r="H954" s="74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</row>
    <row r="955">
      <c r="A955" s="9"/>
      <c r="B955" s="9"/>
      <c r="C955" s="9"/>
      <c r="D955" s="9"/>
      <c r="E955" s="9"/>
      <c r="F955" s="9"/>
      <c r="G955" s="9"/>
      <c r="H955" s="74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</row>
    <row r="956">
      <c r="A956" s="9"/>
      <c r="B956" s="9"/>
      <c r="C956" s="9"/>
      <c r="D956" s="9"/>
      <c r="E956" s="9"/>
      <c r="F956" s="9"/>
      <c r="G956" s="9"/>
      <c r="H956" s="74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</row>
    <row r="957">
      <c r="A957" s="9"/>
      <c r="B957" s="9"/>
      <c r="C957" s="9"/>
      <c r="D957" s="9"/>
      <c r="E957" s="9"/>
      <c r="F957" s="9"/>
      <c r="G957" s="9"/>
      <c r="H957" s="74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</row>
    <row r="958">
      <c r="A958" s="9"/>
      <c r="B958" s="9"/>
      <c r="C958" s="9"/>
      <c r="D958" s="9"/>
      <c r="E958" s="9"/>
      <c r="F958" s="9"/>
      <c r="G958" s="9"/>
      <c r="H958" s="74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</row>
    <row r="959">
      <c r="A959" s="9"/>
      <c r="B959" s="9"/>
      <c r="C959" s="9"/>
      <c r="D959" s="9"/>
      <c r="E959" s="9"/>
      <c r="F959" s="9"/>
      <c r="G959" s="9"/>
      <c r="H959" s="74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</row>
    <row r="960">
      <c r="A960" s="9"/>
      <c r="B960" s="9"/>
      <c r="C960" s="9"/>
      <c r="D960" s="9"/>
      <c r="E960" s="9"/>
      <c r="F960" s="9"/>
      <c r="G960" s="9"/>
      <c r="H960" s="74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</row>
    <row r="961">
      <c r="A961" s="9"/>
      <c r="B961" s="9"/>
      <c r="C961" s="9"/>
      <c r="D961" s="9"/>
      <c r="E961" s="9"/>
      <c r="F961" s="9"/>
      <c r="G961" s="9"/>
      <c r="H961" s="74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</row>
    <row r="962">
      <c r="A962" s="9"/>
      <c r="B962" s="9"/>
      <c r="C962" s="9"/>
      <c r="D962" s="9"/>
      <c r="E962" s="9"/>
      <c r="F962" s="9"/>
      <c r="G962" s="9"/>
      <c r="H962" s="74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</row>
    <row r="963">
      <c r="A963" s="9"/>
      <c r="B963" s="9"/>
      <c r="C963" s="9"/>
      <c r="D963" s="9"/>
      <c r="E963" s="9"/>
      <c r="F963" s="9"/>
      <c r="G963" s="9"/>
      <c r="H963" s="74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</row>
    <row r="964">
      <c r="A964" s="9"/>
      <c r="B964" s="9"/>
      <c r="C964" s="9"/>
      <c r="D964" s="9"/>
      <c r="E964" s="9"/>
      <c r="F964" s="9"/>
      <c r="G964" s="9"/>
      <c r="H964" s="74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</row>
    <row r="965">
      <c r="A965" s="9"/>
      <c r="B965" s="9"/>
      <c r="C965" s="9"/>
      <c r="D965" s="9"/>
      <c r="E965" s="9"/>
      <c r="F965" s="9"/>
      <c r="G965" s="9"/>
      <c r="H965" s="74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</row>
    <row r="966">
      <c r="A966" s="9"/>
      <c r="B966" s="9"/>
      <c r="C966" s="9"/>
      <c r="D966" s="9"/>
      <c r="E966" s="9"/>
      <c r="F966" s="9"/>
      <c r="G966" s="9"/>
      <c r="H966" s="74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</row>
    <row r="967">
      <c r="A967" s="9"/>
      <c r="B967" s="9"/>
      <c r="C967" s="9"/>
      <c r="D967" s="9"/>
      <c r="E967" s="9"/>
      <c r="F967" s="9"/>
      <c r="G967" s="9"/>
      <c r="H967" s="74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</row>
    <row r="968">
      <c r="A968" s="9"/>
      <c r="B968" s="9"/>
      <c r="C968" s="9"/>
      <c r="D968" s="9"/>
      <c r="E968" s="9"/>
      <c r="F968" s="9"/>
      <c r="G968" s="9"/>
      <c r="H968" s="74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</row>
    <row r="969">
      <c r="A969" s="9"/>
      <c r="B969" s="9"/>
      <c r="C969" s="9"/>
      <c r="D969" s="9"/>
      <c r="E969" s="9"/>
      <c r="F969" s="9"/>
      <c r="G969" s="9"/>
      <c r="H969" s="74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</row>
    <row r="970">
      <c r="A970" s="9"/>
      <c r="B970" s="9"/>
      <c r="C970" s="9"/>
      <c r="D970" s="9"/>
      <c r="E970" s="9"/>
      <c r="F970" s="9"/>
      <c r="G970" s="9"/>
      <c r="H970" s="74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</row>
    <row r="971">
      <c r="A971" s="9"/>
      <c r="B971" s="9"/>
      <c r="C971" s="9"/>
      <c r="D971" s="9"/>
      <c r="E971" s="9"/>
      <c r="F971" s="9"/>
      <c r="G971" s="9"/>
      <c r="H971" s="74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</row>
    <row r="972">
      <c r="A972" s="9"/>
      <c r="B972" s="9"/>
      <c r="C972" s="9"/>
      <c r="D972" s="9"/>
      <c r="E972" s="9"/>
      <c r="F972" s="9"/>
      <c r="G972" s="9"/>
      <c r="H972" s="74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</row>
    <row r="973">
      <c r="A973" s="9"/>
      <c r="B973" s="9"/>
      <c r="C973" s="9"/>
      <c r="D973" s="9"/>
      <c r="E973" s="9"/>
      <c r="F973" s="9"/>
      <c r="G973" s="9"/>
      <c r="H973" s="74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</row>
    <row r="974">
      <c r="A974" s="9"/>
      <c r="B974" s="9"/>
      <c r="C974" s="9"/>
      <c r="D974" s="9"/>
      <c r="E974" s="9"/>
      <c r="F974" s="9"/>
      <c r="G974" s="9"/>
      <c r="H974" s="74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</row>
    <row r="975">
      <c r="A975" s="9"/>
      <c r="B975" s="9"/>
      <c r="C975" s="9"/>
      <c r="D975" s="9"/>
      <c r="E975" s="9"/>
      <c r="F975" s="9"/>
      <c r="G975" s="9"/>
      <c r="H975" s="74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</row>
    <row r="976">
      <c r="A976" s="9"/>
      <c r="B976" s="9"/>
      <c r="C976" s="9"/>
      <c r="D976" s="9"/>
      <c r="E976" s="9"/>
      <c r="F976" s="9"/>
      <c r="G976" s="9"/>
      <c r="H976" s="74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</row>
    <row r="977">
      <c r="A977" s="9"/>
      <c r="B977" s="9"/>
      <c r="C977" s="9"/>
      <c r="D977" s="9"/>
      <c r="E977" s="9"/>
      <c r="F977" s="9"/>
      <c r="G977" s="9"/>
      <c r="H977" s="74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</row>
    <row r="978">
      <c r="A978" s="9"/>
      <c r="B978" s="9"/>
      <c r="C978" s="9"/>
      <c r="D978" s="9"/>
      <c r="E978" s="9"/>
      <c r="F978" s="9"/>
      <c r="G978" s="9"/>
      <c r="H978" s="74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</row>
    <row r="979">
      <c r="A979" s="9"/>
      <c r="B979" s="9"/>
      <c r="C979" s="9"/>
      <c r="D979" s="9"/>
      <c r="E979" s="9"/>
      <c r="F979" s="9"/>
      <c r="G979" s="9"/>
      <c r="H979" s="74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</row>
    <row r="980">
      <c r="A980" s="9"/>
      <c r="B980" s="9"/>
      <c r="C980" s="9"/>
      <c r="D980" s="9"/>
      <c r="E980" s="9"/>
      <c r="F980" s="9"/>
      <c r="G980" s="9"/>
      <c r="H980" s="74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</row>
    <row r="981">
      <c r="A981" s="9"/>
      <c r="B981" s="9"/>
      <c r="C981" s="9"/>
      <c r="D981" s="9"/>
      <c r="E981" s="9"/>
      <c r="F981" s="9"/>
      <c r="G981" s="9"/>
      <c r="H981" s="74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</row>
    <row r="982">
      <c r="A982" s="9"/>
      <c r="B982" s="9"/>
      <c r="C982" s="9"/>
      <c r="D982" s="9"/>
      <c r="E982" s="9"/>
      <c r="F982" s="9"/>
      <c r="G982" s="9"/>
      <c r="H982" s="74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</row>
    <row r="983">
      <c r="A983" s="9"/>
      <c r="B983" s="9"/>
      <c r="C983" s="9"/>
      <c r="D983" s="9"/>
      <c r="E983" s="9"/>
      <c r="F983" s="9"/>
      <c r="G983" s="9"/>
      <c r="H983" s="74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</row>
    <row r="984">
      <c r="A984" s="9"/>
      <c r="B984" s="9"/>
      <c r="C984" s="9"/>
      <c r="D984" s="9"/>
      <c r="E984" s="9"/>
      <c r="F984" s="9"/>
      <c r="G984" s="9"/>
      <c r="H984" s="74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</row>
    <row r="985">
      <c r="A985" s="9"/>
      <c r="B985" s="9"/>
      <c r="C985" s="9"/>
      <c r="D985" s="9"/>
      <c r="E985" s="9"/>
      <c r="F985" s="9"/>
      <c r="G985" s="9"/>
      <c r="H985" s="74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</row>
    <row r="986">
      <c r="A986" s="9"/>
      <c r="B986" s="9"/>
      <c r="C986" s="9"/>
      <c r="D986" s="9"/>
      <c r="E986" s="9"/>
      <c r="F986" s="9"/>
      <c r="G986" s="9"/>
      <c r="H986" s="74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</row>
    <row r="987">
      <c r="A987" s="9"/>
      <c r="B987" s="9"/>
      <c r="C987" s="9"/>
      <c r="D987" s="9"/>
      <c r="E987" s="9"/>
      <c r="F987" s="9"/>
      <c r="G987" s="9"/>
      <c r="H987" s="74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</row>
    <row r="988">
      <c r="A988" s="9"/>
      <c r="B988" s="9"/>
      <c r="C988" s="9"/>
      <c r="D988" s="9"/>
      <c r="E988" s="9"/>
      <c r="F988" s="9"/>
      <c r="G988" s="9"/>
      <c r="H988" s="74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</row>
    <row r="989">
      <c r="A989" s="9"/>
      <c r="B989" s="9"/>
      <c r="C989" s="9"/>
      <c r="D989" s="9"/>
      <c r="E989" s="9"/>
      <c r="F989" s="9"/>
      <c r="G989" s="9"/>
      <c r="H989" s="74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</row>
    <row r="990">
      <c r="A990" s="9"/>
      <c r="B990" s="9"/>
      <c r="C990" s="9"/>
      <c r="D990" s="9"/>
      <c r="E990" s="9"/>
      <c r="F990" s="9"/>
      <c r="G990" s="9"/>
      <c r="H990" s="74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</row>
    <row r="991">
      <c r="A991" s="9"/>
      <c r="B991" s="9"/>
      <c r="C991" s="9"/>
      <c r="D991" s="9"/>
      <c r="E991" s="9"/>
      <c r="F991" s="9"/>
      <c r="G991" s="9"/>
      <c r="H991" s="74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</row>
    <row r="992">
      <c r="A992" s="9"/>
      <c r="B992" s="9"/>
      <c r="C992" s="9"/>
      <c r="D992" s="9"/>
      <c r="E992" s="9"/>
      <c r="F992" s="9"/>
      <c r="G992" s="9"/>
      <c r="H992" s="74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</row>
    <row r="993">
      <c r="A993" s="9"/>
      <c r="B993" s="9"/>
      <c r="C993" s="9"/>
      <c r="D993" s="9"/>
      <c r="E993" s="9"/>
      <c r="F993" s="9"/>
      <c r="G993" s="9"/>
      <c r="H993" s="74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</row>
    <row r="994">
      <c r="A994" s="9"/>
      <c r="B994" s="9"/>
      <c r="C994" s="9"/>
      <c r="D994" s="9"/>
      <c r="E994" s="9"/>
      <c r="F994" s="9"/>
      <c r="G994" s="9"/>
      <c r="H994" s="74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</row>
    <row r="995">
      <c r="A995" s="9"/>
      <c r="B995" s="9"/>
      <c r="C995" s="9"/>
      <c r="D995" s="9"/>
      <c r="E995" s="9"/>
      <c r="F995" s="9"/>
      <c r="G995" s="9"/>
      <c r="H995" s="74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</row>
    <row r="996">
      <c r="A996" s="9"/>
      <c r="B996" s="9"/>
      <c r="C996" s="9"/>
      <c r="D996" s="9"/>
      <c r="E996" s="9"/>
      <c r="F996" s="9"/>
      <c r="G996" s="9"/>
      <c r="H996" s="74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</row>
    <row r="997">
      <c r="A997" s="9"/>
      <c r="B997" s="9"/>
      <c r="C997" s="9"/>
      <c r="D997" s="9"/>
      <c r="E997" s="9"/>
      <c r="F997" s="9"/>
      <c r="G997" s="9"/>
      <c r="H997" s="74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</row>
    <row r="998">
      <c r="A998" s="9"/>
      <c r="B998" s="9"/>
      <c r="C998" s="9"/>
      <c r="D998" s="9"/>
      <c r="E998" s="9"/>
      <c r="F998" s="9"/>
      <c r="G998" s="9"/>
      <c r="H998" s="74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</row>
    <row r="999">
      <c r="A999" s="9"/>
      <c r="B999" s="9"/>
      <c r="C999" s="9"/>
      <c r="D999" s="9"/>
      <c r="E999" s="9"/>
      <c r="F999" s="9"/>
      <c r="G999" s="9"/>
      <c r="H999" s="74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</row>
    <row r="1000">
      <c r="A1000" s="9"/>
      <c r="B1000" s="9"/>
      <c r="C1000" s="9"/>
      <c r="D1000" s="9"/>
      <c r="E1000" s="9"/>
      <c r="F1000" s="9"/>
      <c r="G1000" s="9"/>
      <c r="H1000" s="74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</row>
    <row r="1001">
      <c r="A1001" s="9"/>
      <c r="B1001" s="9"/>
      <c r="C1001" s="9"/>
      <c r="D1001" s="9"/>
      <c r="E1001" s="9"/>
      <c r="F1001" s="9"/>
      <c r="G1001" s="9"/>
      <c r="H1001" s="74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</row>
    <row r="1002">
      <c r="A1002" s="9"/>
      <c r="B1002" s="9"/>
      <c r="C1002" s="9"/>
      <c r="D1002" s="9"/>
      <c r="E1002" s="9"/>
      <c r="F1002" s="9"/>
      <c r="G1002" s="9"/>
      <c r="H1002" s="74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</row>
    <row r="1003">
      <c r="A1003" s="9"/>
      <c r="B1003" s="9"/>
      <c r="C1003" s="9"/>
      <c r="D1003" s="9"/>
      <c r="E1003" s="9"/>
      <c r="F1003" s="9"/>
      <c r="G1003" s="9"/>
      <c r="H1003" s="74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</row>
    <row r="1004">
      <c r="A1004" s="9"/>
      <c r="B1004" s="9"/>
      <c r="C1004" s="9"/>
      <c r="D1004" s="9"/>
      <c r="E1004" s="9"/>
      <c r="F1004" s="9"/>
      <c r="G1004" s="9"/>
      <c r="H1004" s="74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</row>
    <row r="1005">
      <c r="A1005" s="9"/>
      <c r="B1005" s="9"/>
      <c r="C1005" s="9"/>
      <c r="D1005" s="9"/>
      <c r="E1005" s="9"/>
      <c r="F1005" s="9"/>
      <c r="G1005" s="9"/>
      <c r="H1005" s="74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</row>
    <row r="1006">
      <c r="A1006" s="9"/>
      <c r="B1006" s="9"/>
      <c r="C1006" s="9"/>
      <c r="D1006" s="9"/>
      <c r="E1006" s="9"/>
      <c r="F1006" s="9"/>
      <c r="G1006" s="9"/>
      <c r="H1006" s="74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</row>
    <row r="1007">
      <c r="A1007" s="9"/>
      <c r="B1007" s="9"/>
      <c r="C1007" s="9"/>
      <c r="D1007" s="9"/>
      <c r="E1007" s="9"/>
      <c r="F1007" s="9"/>
      <c r="G1007" s="9"/>
      <c r="H1007" s="74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</row>
    <row r="1008">
      <c r="A1008" s="9"/>
      <c r="B1008" s="9"/>
      <c r="C1008" s="9"/>
      <c r="D1008" s="9"/>
      <c r="E1008" s="9"/>
      <c r="F1008" s="9"/>
      <c r="G1008" s="9"/>
      <c r="H1008" s="74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</row>
    <row r="1009">
      <c r="A1009" s="9"/>
      <c r="B1009" s="9"/>
      <c r="C1009" s="9"/>
      <c r="D1009" s="9"/>
      <c r="E1009" s="9"/>
      <c r="F1009" s="9"/>
      <c r="G1009" s="9"/>
      <c r="H1009" s="74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</row>
    <row r="1010">
      <c r="A1010" s="9"/>
      <c r="B1010" s="9"/>
      <c r="C1010" s="9"/>
      <c r="D1010" s="9"/>
      <c r="E1010" s="9"/>
      <c r="F1010" s="9"/>
      <c r="G1010" s="9"/>
      <c r="H1010" s="74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</row>
    <row r="1011">
      <c r="A1011" s="9"/>
      <c r="B1011" s="9"/>
      <c r="C1011" s="9"/>
      <c r="D1011" s="9"/>
      <c r="E1011" s="9"/>
      <c r="F1011" s="9"/>
      <c r="G1011" s="9"/>
      <c r="H1011" s="74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</row>
    <row r="1012">
      <c r="A1012" s="9"/>
      <c r="B1012" s="9"/>
      <c r="C1012" s="9"/>
      <c r="D1012" s="9"/>
      <c r="E1012" s="9"/>
      <c r="F1012" s="9"/>
      <c r="G1012" s="9"/>
      <c r="H1012" s="74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</row>
    <row r="1013">
      <c r="A1013" s="9"/>
      <c r="B1013" s="9"/>
      <c r="C1013" s="9"/>
      <c r="D1013" s="9"/>
      <c r="E1013" s="9"/>
      <c r="F1013" s="9"/>
      <c r="G1013" s="9"/>
      <c r="H1013" s="74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</row>
    <row r="1014">
      <c r="A1014" s="9"/>
      <c r="B1014" s="9"/>
      <c r="C1014" s="9"/>
      <c r="D1014" s="9"/>
      <c r="E1014" s="9"/>
      <c r="F1014" s="9"/>
      <c r="G1014" s="9"/>
      <c r="H1014" s="74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</row>
    <row r="1015">
      <c r="A1015" s="9"/>
      <c r="B1015" s="9"/>
      <c r="C1015" s="9"/>
      <c r="D1015" s="9"/>
      <c r="E1015" s="9"/>
      <c r="F1015" s="9"/>
      <c r="G1015" s="9"/>
      <c r="H1015" s="74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</row>
    <row r="1016">
      <c r="A1016" s="9"/>
      <c r="B1016" s="9"/>
      <c r="C1016" s="9"/>
      <c r="D1016" s="9"/>
      <c r="E1016" s="9"/>
      <c r="F1016" s="9"/>
      <c r="G1016" s="9"/>
      <c r="H1016" s="74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</row>
    <row r="1017">
      <c r="A1017" s="9"/>
      <c r="B1017" s="9"/>
      <c r="C1017" s="9"/>
      <c r="D1017" s="9"/>
      <c r="E1017" s="9"/>
      <c r="F1017" s="9"/>
      <c r="G1017" s="9"/>
      <c r="H1017" s="74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</row>
    <row r="1018">
      <c r="A1018" s="9"/>
      <c r="B1018" s="9"/>
      <c r="C1018" s="9"/>
      <c r="D1018" s="9"/>
      <c r="E1018" s="9"/>
      <c r="F1018" s="9"/>
      <c r="G1018" s="9"/>
      <c r="H1018" s="74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</row>
    <row r="1019">
      <c r="A1019" s="9"/>
      <c r="B1019" s="9"/>
      <c r="C1019" s="9"/>
      <c r="D1019" s="9"/>
      <c r="E1019" s="9"/>
      <c r="F1019" s="9"/>
      <c r="G1019" s="9"/>
      <c r="H1019" s="74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</row>
    <row r="1020">
      <c r="A1020" s="9"/>
      <c r="B1020" s="9"/>
      <c r="C1020" s="9"/>
      <c r="D1020" s="9"/>
      <c r="E1020" s="9"/>
      <c r="F1020" s="9"/>
      <c r="G1020" s="9"/>
      <c r="H1020" s="74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</row>
    <row r="1021">
      <c r="A1021" s="9"/>
      <c r="B1021" s="9"/>
      <c r="C1021" s="9"/>
      <c r="D1021" s="9"/>
      <c r="E1021" s="9"/>
      <c r="F1021" s="9"/>
      <c r="G1021" s="9"/>
      <c r="H1021" s="74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</row>
    <row r="1022">
      <c r="A1022" s="9"/>
      <c r="B1022" s="9"/>
      <c r="C1022" s="9"/>
      <c r="D1022" s="9"/>
      <c r="E1022" s="9"/>
      <c r="F1022" s="9"/>
      <c r="G1022" s="9"/>
      <c r="H1022" s="74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</row>
    <row r="1023">
      <c r="A1023" s="9"/>
      <c r="B1023" s="9"/>
      <c r="C1023" s="9"/>
      <c r="D1023" s="9"/>
      <c r="E1023" s="9"/>
      <c r="F1023" s="9"/>
      <c r="G1023" s="9"/>
      <c r="H1023" s="74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</row>
    <row r="1024">
      <c r="A1024" s="9"/>
      <c r="B1024" s="9"/>
      <c r="C1024" s="9"/>
      <c r="D1024" s="9"/>
      <c r="E1024" s="9"/>
      <c r="F1024" s="9"/>
      <c r="G1024" s="9"/>
      <c r="H1024" s="74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</row>
  </sheetData>
  <mergeCells count="12">
    <mergeCell ref="M1:O1"/>
    <mergeCell ref="O11:O13"/>
    <mergeCell ref="AM17:AM19"/>
    <mergeCell ref="AM22:AM24"/>
    <mergeCell ref="A34:B34"/>
    <mergeCell ref="A1:A2"/>
    <mergeCell ref="B1:B2"/>
    <mergeCell ref="C1:L1"/>
    <mergeCell ref="P1:Z1"/>
    <mergeCell ref="AA1:AE1"/>
    <mergeCell ref="AF1:AI1"/>
    <mergeCell ref="AJ1:A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10.29"/>
    <col customWidth="1" min="3" max="3" width="8.29"/>
    <col customWidth="1" min="4" max="4" width="9.29"/>
    <col customWidth="1" min="5" max="5" width="9.0"/>
    <col customWidth="1" min="6" max="6" width="8.14"/>
    <col customWidth="1" min="7" max="7" width="9.0"/>
    <col customWidth="1" min="8" max="8" width="29.29"/>
    <col customWidth="1" min="9" max="9" width="16.71"/>
    <col customWidth="1" min="10" max="10" width="22.43"/>
    <col customWidth="1" min="11" max="11" width="8.86"/>
    <col customWidth="1" min="12" max="12" width="10.43"/>
    <col customWidth="1" min="13" max="13" width="11.71"/>
  </cols>
  <sheetData>
    <row r="1">
      <c r="A1" s="83" t="s">
        <v>138</v>
      </c>
      <c r="B1" s="83" t="s">
        <v>139</v>
      </c>
      <c r="C1" s="83" t="s">
        <v>140</v>
      </c>
      <c r="D1" s="83" t="s">
        <v>141</v>
      </c>
      <c r="E1" s="83" t="s">
        <v>142</v>
      </c>
      <c r="F1" s="83" t="s">
        <v>143</v>
      </c>
      <c r="G1" s="83" t="s">
        <v>144</v>
      </c>
      <c r="H1" s="83" t="s">
        <v>8</v>
      </c>
      <c r="I1" s="83" t="s">
        <v>8</v>
      </c>
      <c r="J1" s="84"/>
      <c r="K1" s="85"/>
      <c r="L1" s="85"/>
      <c r="M1" s="85"/>
      <c r="N1" s="85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</row>
    <row r="2">
      <c r="A2" s="85" t="s">
        <v>43</v>
      </c>
      <c r="B2" s="86"/>
      <c r="C2" s="86"/>
      <c r="D2" s="86">
        <v>16000.0</v>
      </c>
      <c r="E2" s="86"/>
      <c r="F2" s="87"/>
      <c r="G2" s="87"/>
      <c r="H2" s="85" t="s">
        <v>145</v>
      </c>
      <c r="I2" s="85" t="s">
        <v>44</v>
      </c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</row>
    <row r="3">
      <c r="A3" s="85" t="s">
        <v>82</v>
      </c>
      <c r="B3" s="86"/>
      <c r="C3" s="86"/>
      <c r="D3" s="86">
        <v>14000.0</v>
      </c>
      <c r="E3" s="86"/>
      <c r="F3" s="87"/>
      <c r="G3" s="87"/>
      <c r="H3" s="85" t="s">
        <v>146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</row>
    <row r="4">
      <c r="A4" s="85" t="s">
        <v>82</v>
      </c>
      <c r="B4" s="86"/>
      <c r="C4" s="86"/>
      <c r="D4" s="86">
        <v>8400.0</v>
      </c>
      <c r="E4" s="86"/>
      <c r="F4" s="87"/>
      <c r="G4" s="87"/>
      <c r="H4" s="85" t="s">
        <v>147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</row>
    <row r="5">
      <c r="A5" s="88" t="s">
        <v>148</v>
      </c>
      <c r="B5" s="89">
        <f>SUM(B2:B4)</f>
        <v>0</v>
      </c>
      <c r="C5" s="90"/>
      <c r="D5" s="90">
        <f t="shared" ref="D5:F5" si="1">SUM(D2:D4)</f>
        <v>38400</v>
      </c>
      <c r="E5" s="89">
        <f t="shared" si="1"/>
        <v>0</v>
      </c>
      <c r="F5" s="90">
        <f t="shared" si="1"/>
        <v>0</v>
      </c>
      <c r="G5" s="90">
        <f>E5-D5-F5+C5</f>
        <v>-38400</v>
      </c>
      <c r="H5" s="91"/>
      <c r="I5" s="91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</row>
    <row r="6">
      <c r="A6" s="85" t="s">
        <v>85</v>
      </c>
      <c r="B6" s="86"/>
      <c r="C6" s="86"/>
      <c r="D6" s="86">
        <v>23280.0</v>
      </c>
      <c r="E6" s="86"/>
      <c r="F6" s="87"/>
      <c r="G6" s="87"/>
      <c r="H6" s="85" t="s">
        <v>149</v>
      </c>
      <c r="I6" s="85" t="s">
        <v>44</v>
      </c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</row>
    <row r="7">
      <c r="A7" s="85" t="s">
        <v>150</v>
      </c>
      <c r="B7" s="20"/>
      <c r="C7" s="86">
        <v>6.0</v>
      </c>
      <c r="D7" s="87"/>
      <c r="E7" s="20"/>
      <c r="F7" s="87"/>
      <c r="G7" s="87"/>
      <c r="H7" s="85" t="s">
        <v>151</v>
      </c>
      <c r="I7" s="85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</row>
    <row r="8">
      <c r="A8" s="85" t="s">
        <v>152</v>
      </c>
      <c r="B8" s="86"/>
      <c r="C8" s="86"/>
      <c r="D8" s="86">
        <v>10800.0</v>
      </c>
      <c r="E8" s="86"/>
      <c r="F8" s="87"/>
      <c r="G8" s="87"/>
      <c r="H8" s="85" t="s">
        <v>153</v>
      </c>
      <c r="I8" s="85" t="s">
        <v>44</v>
      </c>
      <c r="J8" s="85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</row>
    <row r="9">
      <c r="A9" s="85" t="s">
        <v>50</v>
      </c>
      <c r="B9" s="86"/>
      <c r="C9" s="86"/>
      <c r="D9" s="86">
        <v>27000.0</v>
      </c>
      <c r="E9" s="86"/>
      <c r="F9" s="87"/>
      <c r="G9" s="87"/>
      <c r="H9" s="85" t="s">
        <v>154</v>
      </c>
      <c r="I9" s="85" t="s">
        <v>44</v>
      </c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</row>
    <row r="10">
      <c r="A10" s="85" t="s">
        <v>155</v>
      </c>
      <c r="B10" s="86"/>
      <c r="C10" s="86"/>
      <c r="D10" s="86">
        <v>4250.0</v>
      </c>
      <c r="E10" s="86"/>
      <c r="F10" s="87"/>
      <c r="G10" s="87"/>
      <c r="H10" s="85" t="s">
        <v>156</v>
      </c>
      <c r="I10" s="85" t="s">
        <v>44</v>
      </c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</row>
    <row r="11">
      <c r="A11" s="85" t="s">
        <v>54</v>
      </c>
      <c r="B11" s="86"/>
      <c r="C11" s="86"/>
      <c r="D11" s="86">
        <v>21000.0</v>
      </c>
      <c r="E11" s="86"/>
      <c r="F11" s="87"/>
      <c r="G11" s="87"/>
      <c r="H11" s="85" t="s">
        <v>157</v>
      </c>
      <c r="I11" s="85" t="s">
        <v>44</v>
      </c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</row>
    <row r="12">
      <c r="A12" s="85" t="s">
        <v>54</v>
      </c>
      <c r="B12" s="86"/>
      <c r="C12" s="87"/>
      <c r="D12" s="87"/>
      <c r="E12" s="86">
        <v>7368.0</v>
      </c>
      <c r="F12" s="86"/>
      <c r="G12" s="87"/>
      <c r="H12" s="85" t="s">
        <v>158</v>
      </c>
      <c r="I12" s="85"/>
      <c r="J12" s="12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</row>
    <row r="13">
      <c r="A13" s="85" t="s">
        <v>54</v>
      </c>
      <c r="B13" s="86"/>
      <c r="C13" s="86"/>
      <c r="D13" s="86">
        <v>4250.0</v>
      </c>
      <c r="E13" s="86"/>
      <c r="F13" s="87"/>
      <c r="G13" s="87"/>
      <c r="H13" s="85" t="s">
        <v>156</v>
      </c>
      <c r="I13" s="85" t="s">
        <v>159</v>
      </c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</row>
    <row r="14">
      <c r="A14" s="85" t="s">
        <v>55</v>
      </c>
      <c r="B14" s="86"/>
      <c r="C14" s="86"/>
      <c r="D14" s="86">
        <v>19200.0</v>
      </c>
      <c r="E14" s="86"/>
      <c r="F14" s="86"/>
      <c r="G14" s="87"/>
      <c r="H14" s="85" t="s">
        <v>160</v>
      </c>
      <c r="I14" s="85" t="s">
        <v>44</v>
      </c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</row>
    <row r="15">
      <c r="A15" s="88" t="s">
        <v>161</v>
      </c>
      <c r="B15" s="89">
        <f t="shared" ref="B15:F15" si="2">SUM(B6:B14)</f>
        <v>0</v>
      </c>
      <c r="C15" s="90">
        <f t="shared" si="2"/>
        <v>6</v>
      </c>
      <c r="D15" s="90">
        <f t="shared" si="2"/>
        <v>109780</v>
      </c>
      <c r="E15" s="89">
        <f t="shared" si="2"/>
        <v>7368</v>
      </c>
      <c r="F15" s="90">
        <f t="shared" si="2"/>
        <v>0</v>
      </c>
      <c r="G15" s="90">
        <f>E15-D15-F15+C15</f>
        <v>-102406</v>
      </c>
      <c r="H15" s="91"/>
      <c r="I15" s="91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</row>
    <row r="16">
      <c r="A16" s="85" t="s">
        <v>162</v>
      </c>
      <c r="B16" s="86"/>
      <c r="C16" s="87"/>
      <c r="D16" s="87"/>
      <c r="E16" s="86">
        <v>3157.0</v>
      </c>
      <c r="F16" s="86"/>
      <c r="G16" s="87"/>
      <c r="H16" s="85" t="s">
        <v>163</v>
      </c>
      <c r="I16" s="85"/>
      <c r="J16" s="12"/>
      <c r="K16" s="92"/>
      <c r="L16" s="85"/>
      <c r="M16" s="85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</row>
    <row r="17">
      <c r="A17" s="85" t="s">
        <v>162</v>
      </c>
      <c r="B17" s="86">
        <v>50000.0</v>
      </c>
      <c r="C17" s="87"/>
      <c r="D17" s="87"/>
      <c r="E17" s="20"/>
      <c r="F17" s="87"/>
      <c r="G17" s="87"/>
      <c r="H17" s="85" t="s">
        <v>164</v>
      </c>
      <c r="I17" s="85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</row>
    <row r="18">
      <c r="A18" s="85" t="s">
        <v>165</v>
      </c>
      <c r="B18" s="86">
        <v>50000.0</v>
      </c>
      <c r="C18" s="87"/>
      <c r="D18" s="87"/>
      <c r="E18" s="20"/>
      <c r="F18" s="87"/>
      <c r="G18" s="87"/>
      <c r="H18" s="85" t="s">
        <v>164</v>
      </c>
      <c r="I18" s="85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</row>
    <row r="19">
      <c r="A19" s="85" t="s">
        <v>58</v>
      </c>
      <c r="B19" s="86">
        <v>100000.0</v>
      </c>
      <c r="C19" s="87"/>
      <c r="D19" s="87"/>
      <c r="E19" s="86"/>
      <c r="F19" s="86"/>
      <c r="G19" s="87"/>
      <c r="H19" s="85" t="s">
        <v>164</v>
      </c>
      <c r="I19" s="85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</row>
    <row r="20">
      <c r="A20" s="85" t="s">
        <v>58</v>
      </c>
      <c r="B20" s="20"/>
      <c r="C20" s="86">
        <v>245.0</v>
      </c>
      <c r="D20" s="86">
        <v>81900.0</v>
      </c>
      <c r="E20" s="86"/>
      <c r="F20" s="86"/>
      <c r="G20" s="87"/>
      <c r="H20" s="85" t="s">
        <v>166</v>
      </c>
      <c r="I20" s="85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</row>
    <row r="21">
      <c r="A21" s="85" t="s">
        <v>58</v>
      </c>
      <c r="B21" s="20"/>
      <c r="C21" s="86"/>
      <c r="D21" s="87"/>
      <c r="E21" s="86">
        <v>7368.0</v>
      </c>
      <c r="F21" s="86"/>
      <c r="G21" s="87"/>
      <c r="H21" s="85" t="s">
        <v>167</v>
      </c>
      <c r="I21" s="85"/>
      <c r="J21" s="12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</row>
    <row r="22">
      <c r="A22" s="85" t="s">
        <v>168</v>
      </c>
      <c r="B22" s="20"/>
      <c r="C22" s="86">
        <v>49.0</v>
      </c>
      <c r="D22" s="86">
        <v>16500.0</v>
      </c>
      <c r="E22" s="86"/>
      <c r="F22" s="86"/>
      <c r="G22" s="87"/>
      <c r="H22" s="85" t="s">
        <v>169</v>
      </c>
      <c r="I22" s="85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</row>
    <row r="23">
      <c r="A23" s="85" t="s">
        <v>170</v>
      </c>
      <c r="B23" s="20"/>
      <c r="C23" s="86"/>
      <c r="D23" s="86">
        <v>4850.0</v>
      </c>
      <c r="E23" s="86"/>
      <c r="F23" s="86"/>
      <c r="G23" s="87"/>
      <c r="H23" s="85" t="s">
        <v>156</v>
      </c>
      <c r="I23" s="85" t="s">
        <v>159</v>
      </c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</row>
    <row r="24">
      <c r="A24" s="85" t="s">
        <v>107</v>
      </c>
      <c r="B24" s="20"/>
      <c r="C24" s="86">
        <v>103.0</v>
      </c>
      <c r="D24" s="86">
        <v>34359.0</v>
      </c>
      <c r="E24" s="86"/>
      <c r="F24" s="86"/>
      <c r="G24" s="87"/>
      <c r="H24" s="85" t="s">
        <v>171</v>
      </c>
      <c r="I24" s="85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</row>
    <row r="25">
      <c r="A25" s="85" t="s">
        <v>61</v>
      </c>
      <c r="B25" s="86"/>
      <c r="C25" s="87"/>
      <c r="D25" s="87"/>
      <c r="E25" s="86">
        <v>14736.0</v>
      </c>
      <c r="F25" s="86"/>
      <c r="G25" s="87"/>
      <c r="H25" s="85" t="s">
        <v>172</v>
      </c>
      <c r="I25" s="85"/>
      <c r="J25" s="12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</row>
    <row r="26">
      <c r="A26" s="85" t="s">
        <v>173</v>
      </c>
      <c r="B26" s="86"/>
      <c r="C26" s="87"/>
      <c r="D26" s="86">
        <v>4850.0</v>
      </c>
      <c r="E26" s="86"/>
      <c r="F26" s="86"/>
      <c r="G26" s="87"/>
      <c r="H26" s="85" t="s">
        <v>156</v>
      </c>
      <c r="I26" s="85" t="s">
        <v>174</v>
      </c>
      <c r="J26" s="9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</row>
    <row r="27">
      <c r="A27" s="85" t="s">
        <v>101</v>
      </c>
      <c r="B27" s="86">
        <v>100000.0</v>
      </c>
      <c r="C27" s="87"/>
      <c r="D27" s="87"/>
      <c r="E27" s="86"/>
      <c r="F27" s="86"/>
      <c r="G27" s="87"/>
      <c r="H27" s="85" t="s">
        <v>164</v>
      </c>
      <c r="I27" s="85"/>
      <c r="J27" s="9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</row>
    <row r="28">
      <c r="A28" s="85" t="s">
        <v>101</v>
      </c>
      <c r="B28" s="86"/>
      <c r="C28" s="86">
        <v>289.0</v>
      </c>
      <c r="D28" s="86">
        <v>96600.0</v>
      </c>
      <c r="E28" s="86"/>
      <c r="F28" s="86"/>
      <c r="G28" s="87"/>
      <c r="H28" s="85" t="s">
        <v>175</v>
      </c>
      <c r="I28" s="85"/>
      <c r="J28" s="9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</row>
    <row r="29">
      <c r="A29" s="85" t="s">
        <v>63</v>
      </c>
      <c r="B29" s="86">
        <v>100000.0</v>
      </c>
      <c r="C29" s="87"/>
      <c r="D29" s="87"/>
      <c r="E29" s="86"/>
      <c r="F29" s="86"/>
      <c r="G29" s="87"/>
      <c r="H29" s="85" t="s">
        <v>164</v>
      </c>
      <c r="I29" s="85"/>
      <c r="J29" s="9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</row>
    <row r="30">
      <c r="A30" s="85" t="s">
        <v>63</v>
      </c>
      <c r="B30" s="86"/>
      <c r="C30" s="87"/>
      <c r="D30" s="86">
        <v>135000.0</v>
      </c>
      <c r="E30" s="86"/>
      <c r="F30" s="86"/>
      <c r="G30" s="87"/>
      <c r="H30" s="85" t="s">
        <v>176</v>
      </c>
      <c r="I30" s="85" t="s">
        <v>64</v>
      </c>
      <c r="J30" s="9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</row>
    <row r="31">
      <c r="A31" s="85" t="s">
        <v>63</v>
      </c>
      <c r="B31" s="86"/>
      <c r="C31" s="87"/>
      <c r="D31" s="87"/>
      <c r="E31" s="86">
        <v>14736.0</v>
      </c>
      <c r="F31" s="86"/>
      <c r="G31" s="87"/>
      <c r="H31" s="85" t="s">
        <v>177</v>
      </c>
      <c r="I31" s="85"/>
      <c r="J31" s="12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</row>
    <row r="32">
      <c r="A32" s="85" t="s">
        <v>63</v>
      </c>
      <c r="B32" s="86"/>
      <c r="C32" s="86">
        <v>106.0</v>
      </c>
      <c r="D32" s="86">
        <v>35600.0</v>
      </c>
      <c r="E32" s="86"/>
      <c r="F32" s="86"/>
      <c r="G32" s="87"/>
      <c r="H32" s="85" t="s">
        <v>178</v>
      </c>
      <c r="I32" s="85"/>
      <c r="J32" s="9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</row>
    <row r="33">
      <c r="A33" s="85" t="s">
        <v>179</v>
      </c>
      <c r="B33" s="86"/>
      <c r="C33" s="86"/>
      <c r="D33" s="86">
        <v>4250.0</v>
      </c>
      <c r="E33" s="86"/>
      <c r="F33" s="86"/>
      <c r="G33" s="87"/>
      <c r="H33" s="85" t="s">
        <v>156</v>
      </c>
      <c r="I33" s="85" t="s">
        <v>174</v>
      </c>
      <c r="J33" s="12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</row>
    <row r="34">
      <c r="A34" s="85" t="s">
        <v>180</v>
      </c>
      <c r="B34" s="86"/>
      <c r="C34" s="86">
        <v>34.0</v>
      </c>
      <c r="D34" s="86">
        <v>11500.0</v>
      </c>
      <c r="E34" s="86"/>
      <c r="F34" s="86"/>
      <c r="G34" s="87"/>
      <c r="H34" s="85" t="s">
        <v>6</v>
      </c>
      <c r="I34" s="85"/>
      <c r="J34" s="12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</row>
    <row r="35">
      <c r="A35" s="85" t="s">
        <v>181</v>
      </c>
      <c r="B35" s="86"/>
      <c r="C35" s="87"/>
      <c r="D35" s="87"/>
      <c r="E35" s="86">
        <v>9596.0</v>
      </c>
      <c r="F35" s="86"/>
      <c r="G35" s="87"/>
      <c r="H35" s="85" t="s">
        <v>182</v>
      </c>
      <c r="I35" s="85"/>
      <c r="J35" s="12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</row>
    <row r="36">
      <c r="A36" s="85" t="s">
        <v>183</v>
      </c>
      <c r="B36" s="86">
        <v>50000.0</v>
      </c>
      <c r="C36" s="86"/>
      <c r="D36" s="86"/>
      <c r="E36" s="86"/>
      <c r="F36" s="86"/>
      <c r="G36" s="87"/>
      <c r="H36" s="85" t="s">
        <v>164</v>
      </c>
      <c r="I36" s="85"/>
      <c r="J36" s="12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</row>
    <row r="37">
      <c r="A37" s="85" t="s">
        <v>183</v>
      </c>
      <c r="B37" s="93"/>
      <c r="C37" s="93"/>
      <c r="D37" s="93">
        <v>32400.0</v>
      </c>
      <c r="E37" s="93"/>
      <c r="F37" s="93"/>
      <c r="G37" s="94"/>
      <c r="H37" s="95" t="s">
        <v>184</v>
      </c>
      <c r="I37" s="95" t="s">
        <v>185</v>
      </c>
      <c r="J37" s="12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</row>
    <row r="38">
      <c r="A38" s="85" t="s">
        <v>186</v>
      </c>
      <c r="B38" s="86"/>
      <c r="C38" s="86"/>
      <c r="D38" s="86">
        <v>4850.0</v>
      </c>
      <c r="E38" s="86"/>
      <c r="F38" s="86"/>
      <c r="G38" s="87"/>
      <c r="H38" s="85" t="s">
        <v>156</v>
      </c>
      <c r="I38" s="85" t="s">
        <v>174</v>
      </c>
      <c r="J38" s="12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</row>
    <row r="39">
      <c r="A39" s="85" t="s">
        <v>70</v>
      </c>
      <c r="B39" s="86">
        <v>50000.0</v>
      </c>
      <c r="C39" s="86"/>
      <c r="D39" s="86"/>
      <c r="E39" s="86"/>
      <c r="F39" s="86"/>
      <c r="G39" s="87"/>
      <c r="H39" s="85" t="s">
        <v>164</v>
      </c>
      <c r="I39" s="85"/>
      <c r="J39" s="12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</row>
    <row r="40">
      <c r="A40" s="85" t="s">
        <v>70</v>
      </c>
      <c r="B40" s="86"/>
      <c r="C40" s="86"/>
      <c r="D40" s="86">
        <v>52500.0</v>
      </c>
      <c r="E40" s="86"/>
      <c r="F40" s="86"/>
      <c r="G40" s="87"/>
      <c r="H40" s="85" t="s">
        <v>187</v>
      </c>
      <c r="I40" s="85" t="s">
        <v>64</v>
      </c>
      <c r="J40" s="12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</row>
    <row r="41">
      <c r="A41" s="85" t="s">
        <v>70</v>
      </c>
      <c r="B41" s="86"/>
      <c r="C41" s="86">
        <v>29.0</v>
      </c>
      <c r="D41" s="86">
        <v>9800.0</v>
      </c>
      <c r="E41" s="86"/>
      <c r="F41" s="86"/>
      <c r="G41" s="87"/>
      <c r="H41" s="85" t="s">
        <v>6</v>
      </c>
      <c r="I41" s="85"/>
      <c r="J41" s="12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</row>
    <row r="42">
      <c r="A42" s="85" t="s">
        <v>70</v>
      </c>
      <c r="B42" s="86">
        <v>40000.0</v>
      </c>
      <c r="C42" s="86"/>
      <c r="D42" s="86"/>
      <c r="E42" s="86"/>
      <c r="F42" s="86"/>
      <c r="G42" s="87"/>
      <c r="H42" s="85" t="s">
        <v>164</v>
      </c>
      <c r="I42" s="85"/>
      <c r="J42" s="12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</row>
    <row r="43">
      <c r="A43" s="85" t="s">
        <v>70</v>
      </c>
      <c r="B43" s="86"/>
      <c r="C43" s="86">
        <v>114.0</v>
      </c>
      <c r="D43" s="86">
        <v>38000.0</v>
      </c>
      <c r="E43" s="86"/>
      <c r="F43" s="86"/>
      <c r="G43" s="87"/>
      <c r="H43" s="85" t="s">
        <v>188</v>
      </c>
      <c r="I43" s="85"/>
      <c r="J43" s="12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</row>
    <row r="44">
      <c r="A44" s="85" t="s">
        <v>112</v>
      </c>
      <c r="B44" s="86"/>
      <c r="C44" s="86">
        <v>10.0</v>
      </c>
      <c r="D44" s="86">
        <v>3400.0</v>
      </c>
      <c r="E44" s="86"/>
      <c r="F44" s="86"/>
      <c r="G44" s="87"/>
      <c r="H44" s="85" t="s">
        <v>156</v>
      </c>
      <c r="I44" s="85"/>
      <c r="J44" s="12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</row>
    <row r="45">
      <c r="A45" s="88" t="s">
        <v>189</v>
      </c>
      <c r="B45" s="89">
        <f t="shared" ref="B45:F45" si="3">SUM(B16:B44)</f>
        <v>540000</v>
      </c>
      <c r="C45" s="89">
        <f t="shared" si="3"/>
        <v>979</v>
      </c>
      <c r="D45" s="90">
        <f t="shared" si="3"/>
        <v>566359</v>
      </c>
      <c r="E45" s="89">
        <f t="shared" si="3"/>
        <v>49593</v>
      </c>
      <c r="F45" s="90">
        <f t="shared" si="3"/>
        <v>0</v>
      </c>
      <c r="G45" s="90">
        <f>E45-D45-F45+C45</f>
        <v>-515787</v>
      </c>
      <c r="H45" s="91"/>
      <c r="I45" s="91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</row>
    <row r="46">
      <c r="A46" s="85" t="s">
        <v>190</v>
      </c>
      <c r="B46" s="86"/>
      <c r="C46" s="86">
        <v>4.0</v>
      </c>
      <c r="D46" s="86"/>
      <c r="E46" s="86"/>
      <c r="F46" s="86"/>
      <c r="G46" s="87"/>
      <c r="H46" s="85" t="s">
        <v>191</v>
      </c>
      <c r="I46" s="85"/>
      <c r="J46" s="9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</row>
    <row r="47">
      <c r="A47" s="85" t="s">
        <v>192</v>
      </c>
      <c r="B47" s="86"/>
      <c r="C47" s="87"/>
      <c r="D47" s="86">
        <v>4850.0</v>
      </c>
      <c r="E47" s="86"/>
      <c r="F47" s="86"/>
      <c r="G47" s="87"/>
      <c r="H47" s="85" t="s">
        <v>156</v>
      </c>
      <c r="I47" s="85" t="s">
        <v>174</v>
      </c>
      <c r="J47" s="9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</row>
    <row r="48">
      <c r="A48" s="85" t="s">
        <v>71</v>
      </c>
      <c r="B48" s="86"/>
      <c r="C48" s="87"/>
      <c r="D48" s="87"/>
      <c r="E48" s="86">
        <v>3157.0</v>
      </c>
      <c r="F48" s="86"/>
      <c r="G48" s="87"/>
      <c r="H48" s="85" t="s">
        <v>193</v>
      </c>
      <c r="I48" s="85"/>
      <c r="J48" s="9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</row>
    <row r="49">
      <c r="A49" s="85" t="s">
        <v>71</v>
      </c>
      <c r="B49" s="86"/>
      <c r="C49" s="87"/>
      <c r="D49" s="87"/>
      <c r="E49" s="86">
        <v>6314.0</v>
      </c>
      <c r="F49" s="86"/>
      <c r="G49" s="87"/>
      <c r="H49" s="85" t="s">
        <v>194</v>
      </c>
      <c r="I49" s="85"/>
      <c r="J49" s="9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</row>
    <row r="50">
      <c r="A50" s="85" t="s">
        <v>71</v>
      </c>
      <c r="B50" s="86"/>
      <c r="C50" s="87"/>
      <c r="D50" s="87"/>
      <c r="E50" s="86">
        <v>6314.0</v>
      </c>
      <c r="F50" s="86"/>
      <c r="G50" s="87"/>
      <c r="H50" s="85" t="s">
        <v>195</v>
      </c>
      <c r="I50" s="85"/>
      <c r="J50" s="9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</row>
    <row r="51">
      <c r="A51" s="85" t="s">
        <v>71</v>
      </c>
      <c r="B51" s="86"/>
      <c r="C51" s="87"/>
      <c r="D51" s="87"/>
      <c r="E51" s="86">
        <v>4113.0</v>
      </c>
      <c r="F51" s="86"/>
      <c r="G51" s="87"/>
      <c r="H51" s="85" t="s">
        <v>196</v>
      </c>
      <c r="I51" s="85"/>
      <c r="J51" s="9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</row>
    <row r="52">
      <c r="A52" s="85" t="s">
        <v>71</v>
      </c>
      <c r="B52" s="86"/>
      <c r="C52" s="87"/>
      <c r="D52" s="87"/>
      <c r="E52" s="86">
        <v>35911.0</v>
      </c>
      <c r="F52" s="86"/>
      <c r="G52" s="87"/>
      <c r="H52" s="85" t="s">
        <v>197</v>
      </c>
      <c r="I52" s="85"/>
      <c r="J52" s="9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</row>
    <row r="53">
      <c r="A53" s="85" t="s">
        <v>71</v>
      </c>
      <c r="B53" s="86"/>
      <c r="C53" s="86">
        <v>92.0</v>
      </c>
      <c r="D53" s="86">
        <v>30800.0</v>
      </c>
      <c r="E53" s="86"/>
      <c r="F53" s="86"/>
      <c r="G53" s="87"/>
      <c r="H53" s="85" t="s">
        <v>198</v>
      </c>
      <c r="I53" s="85"/>
      <c r="J53" s="9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</row>
    <row r="54">
      <c r="A54" s="85" t="s">
        <v>72</v>
      </c>
      <c r="B54" s="93"/>
      <c r="C54" s="93">
        <v>32400.0</v>
      </c>
      <c r="D54" s="93"/>
      <c r="E54" s="93"/>
      <c r="F54" s="93"/>
      <c r="G54" s="94"/>
      <c r="H54" s="95" t="s">
        <v>199</v>
      </c>
      <c r="I54" s="95"/>
      <c r="J54" s="9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</row>
    <row r="55">
      <c r="A55" s="85" t="s">
        <v>72</v>
      </c>
      <c r="B55" s="86">
        <v>200000.0</v>
      </c>
      <c r="C55" s="87"/>
      <c r="D55" s="87"/>
      <c r="E55" s="86"/>
      <c r="F55" s="86"/>
      <c r="G55" s="87"/>
      <c r="H55" s="85" t="s">
        <v>164</v>
      </c>
      <c r="I55" s="85"/>
      <c r="J55" s="9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</row>
    <row r="56">
      <c r="A56" s="85" t="s">
        <v>72</v>
      </c>
      <c r="B56" s="86"/>
      <c r="C56" s="86"/>
      <c r="D56" s="86">
        <v>250500.0</v>
      </c>
      <c r="E56" s="86"/>
      <c r="F56" s="86"/>
      <c r="G56" s="87"/>
      <c r="H56" s="85" t="s">
        <v>200</v>
      </c>
      <c r="I56" s="85" t="s">
        <v>64</v>
      </c>
      <c r="J56" s="9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</row>
    <row r="57">
      <c r="A57" s="85" t="s">
        <v>201</v>
      </c>
      <c r="B57" s="86"/>
      <c r="C57" s="86"/>
      <c r="D57" s="86">
        <v>4850.0</v>
      </c>
      <c r="E57" s="86"/>
      <c r="F57" s="86"/>
      <c r="G57" s="87"/>
      <c r="H57" s="85" t="s">
        <v>156</v>
      </c>
      <c r="I57" s="85" t="s">
        <v>174</v>
      </c>
      <c r="J57" s="9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</row>
    <row r="58">
      <c r="A58" s="85" t="s">
        <v>74</v>
      </c>
      <c r="B58" s="86"/>
      <c r="C58" s="86">
        <v>28.0</v>
      </c>
      <c r="D58" s="86">
        <v>9440.0</v>
      </c>
      <c r="E58" s="20"/>
      <c r="F58" s="87"/>
      <c r="G58" s="87"/>
      <c r="H58" s="85" t="s">
        <v>202</v>
      </c>
      <c r="I58" s="85"/>
      <c r="J58" s="9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</row>
    <row r="59">
      <c r="A59" s="85" t="s">
        <v>133</v>
      </c>
      <c r="B59" s="86">
        <v>50000.0</v>
      </c>
      <c r="C59" s="87"/>
      <c r="D59" s="87"/>
      <c r="E59" s="20"/>
      <c r="F59" s="87"/>
      <c r="G59" s="87"/>
      <c r="H59" s="85" t="s">
        <v>164</v>
      </c>
      <c r="I59" s="85"/>
      <c r="J59" s="9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</row>
    <row r="60">
      <c r="A60" s="85" t="s">
        <v>133</v>
      </c>
      <c r="B60" s="86"/>
      <c r="C60" s="86">
        <v>97.0</v>
      </c>
      <c r="D60" s="86">
        <v>32400.0</v>
      </c>
      <c r="E60" s="86"/>
      <c r="F60" s="86"/>
      <c r="G60" s="87"/>
      <c r="H60" s="85" t="s">
        <v>203</v>
      </c>
      <c r="I60" s="85"/>
      <c r="J60" s="9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</row>
    <row r="61">
      <c r="A61" s="85" t="s">
        <v>204</v>
      </c>
      <c r="B61" s="86"/>
      <c r="C61" s="87"/>
      <c r="D61" s="87"/>
      <c r="E61" s="96">
        <v>19898.0</v>
      </c>
      <c r="F61" s="86"/>
      <c r="G61" s="87"/>
      <c r="H61" s="85" t="s">
        <v>205</v>
      </c>
      <c r="I61" s="85"/>
      <c r="J61" s="9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</row>
    <row r="62">
      <c r="A62" s="85" t="s">
        <v>204</v>
      </c>
      <c r="B62" s="86"/>
      <c r="C62" s="87"/>
      <c r="D62" s="87"/>
      <c r="E62" s="97">
        <v>20369.0</v>
      </c>
      <c r="F62" s="86"/>
      <c r="G62" s="87"/>
      <c r="H62" s="85" t="s">
        <v>206</v>
      </c>
      <c r="I62" s="85"/>
      <c r="J62" s="9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</row>
    <row r="63">
      <c r="A63" s="85" t="s">
        <v>207</v>
      </c>
      <c r="B63" s="86"/>
      <c r="C63" s="86">
        <v>94.0</v>
      </c>
      <c r="D63" s="86">
        <v>31500.0</v>
      </c>
      <c r="E63" s="86"/>
      <c r="F63" s="86"/>
      <c r="G63" s="87"/>
      <c r="H63" s="85" t="s">
        <v>208</v>
      </c>
      <c r="I63" s="85"/>
      <c r="J63" s="9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</row>
    <row r="64">
      <c r="A64" s="85" t="s">
        <v>207</v>
      </c>
      <c r="B64" s="86"/>
      <c r="D64" s="86">
        <v>4850.0</v>
      </c>
      <c r="E64" s="86"/>
      <c r="F64" s="86"/>
      <c r="G64" s="87"/>
      <c r="H64" s="85" t="s">
        <v>156</v>
      </c>
      <c r="I64" s="85" t="s">
        <v>174</v>
      </c>
      <c r="J64" s="9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</row>
    <row r="65">
      <c r="A65" s="85" t="s">
        <v>209</v>
      </c>
      <c r="B65" s="86"/>
      <c r="C65" s="87"/>
      <c r="D65" s="87"/>
      <c r="E65" s="96">
        <v>65574.0</v>
      </c>
      <c r="F65" s="86"/>
      <c r="G65" s="87"/>
      <c r="H65" s="85" t="s">
        <v>210</v>
      </c>
      <c r="I65" s="85"/>
      <c r="J65" s="9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</row>
    <row r="66">
      <c r="A66" s="85" t="s">
        <v>211</v>
      </c>
      <c r="B66" s="86"/>
      <c r="C66" s="87"/>
      <c r="D66" s="86">
        <v>4250.0</v>
      </c>
      <c r="E66" s="96"/>
      <c r="F66" s="86"/>
      <c r="G66" s="87"/>
      <c r="H66" s="85" t="s">
        <v>156</v>
      </c>
      <c r="I66" s="85"/>
      <c r="J66" s="9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</row>
    <row r="67">
      <c r="A67" s="85" t="s">
        <v>212</v>
      </c>
      <c r="B67" s="86"/>
      <c r="C67" s="87"/>
      <c r="D67" s="87"/>
      <c r="E67" s="96">
        <v>81727.0</v>
      </c>
      <c r="F67" s="86"/>
      <c r="G67" s="87"/>
      <c r="H67" s="85" t="s">
        <v>213</v>
      </c>
      <c r="I67" s="85"/>
      <c r="J67" s="9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</row>
    <row r="68">
      <c r="A68" s="85" t="s">
        <v>212</v>
      </c>
      <c r="B68" s="86">
        <v>-50000.0</v>
      </c>
      <c r="C68" s="87"/>
      <c r="D68" s="87"/>
      <c r="E68" s="96"/>
      <c r="F68" s="86"/>
      <c r="G68" s="87"/>
      <c r="H68" s="85" t="s">
        <v>214</v>
      </c>
      <c r="I68" s="85"/>
      <c r="J68" s="9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</row>
    <row r="69">
      <c r="A69" s="88" t="s">
        <v>215</v>
      </c>
      <c r="B69" s="89">
        <f t="shared" ref="B69:F69" si="4">SUM(B46:B68)</f>
        <v>200000</v>
      </c>
      <c r="C69" s="90">
        <f t="shared" si="4"/>
        <v>32715</v>
      </c>
      <c r="D69" s="90">
        <f t="shared" si="4"/>
        <v>373440</v>
      </c>
      <c r="E69" s="89">
        <f t="shared" si="4"/>
        <v>243377</v>
      </c>
      <c r="F69" s="90">
        <f t="shared" si="4"/>
        <v>0</v>
      </c>
      <c r="G69" s="90">
        <f>E69-D69-F69+C69</f>
        <v>-97348</v>
      </c>
      <c r="H69" s="91"/>
      <c r="I69" s="91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</row>
    <row r="70">
      <c r="A70" s="85" t="s">
        <v>136</v>
      </c>
      <c r="B70" s="86"/>
      <c r="C70" s="86">
        <v>5.0</v>
      </c>
      <c r="D70" s="87"/>
      <c r="E70" s="98"/>
      <c r="F70" s="86"/>
      <c r="G70" s="87"/>
      <c r="H70" s="85" t="s">
        <v>191</v>
      </c>
      <c r="I70" s="85"/>
      <c r="J70" s="9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</row>
    <row r="71">
      <c r="A71" s="85" t="s">
        <v>136</v>
      </c>
      <c r="B71" s="86"/>
      <c r="C71" s="87"/>
      <c r="D71" s="87"/>
      <c r="E71" s="98">
        <v>8729.0</v>
      </c>
      <c r="F71" s="86"/>
      <c r="G71" s="87"/>
      <c r="H71" s="85" t="s">
        <v>216</v>
      </c>
      <c r="I71" s="85"/>
      <c r="J71" s="9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</row>
    <row r="72">
      <c r="A72" s="85" t="s">
        <v>136</v>
      </c>
      <c r="B72" s="86"/>
      <c r="C72" s="87"/>
      <c r="D72" s="87"/>
      <c r="E72" s="99">
        <v>28098.0</v>
      </c>
      <c r="F72" s="86"/>
      <c r="G72" s="87"/>
      <c r="H72" s="85" t="s">
        <v>217</v>
      </c>
      <c r="I72" s="85"/>
      <c r="J72" s="9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</row>
    <row r="73">
      <c r="A73" s="85" t="s">
        <v>136</v>
      </c>
      <c r="B73" s="86"/>
      <c r="C73" s="87"/>
      <c r="D73" s="87"/>
      <c r="E73" s="99">
        <v>35021.0</v>
      </c>
      <c r="F73" s="86"/>
      <c r="G73" s="87"/>
      <c r="H73" s="85" t="s">
        <v>218</v>
      </c>
      <c r="I73" s="85"/>
      <c r="J73" s="9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</row>
    <row r="74">
      <c r="A74" s="85" t="s">
        <v>136</v>
      </c>
      <c r="B74" s="86"/>
      <c r="C74" s="87"/>
      <c r="D74" s="86">
        <v>178500.0</v>
      </c>
      <c r="E74" s="99"/>
      <c r="F74" s="86"/>
      <c r="G74" s="87"/>
      <c r="H74" s="85" t="s">
        <v>219</v>
      </c>
      <c r="I74" s="85"/>
      <c r="J74" s="9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</row>
    <row r="75">
      <c r="A75" s="85" t="s">
        <v>220</v>
      </c>
      <c r="B75" s="86"/>
      <c r="C75" s="87"/>
      <c r="D75" s="87"/>
      <c r="E75" s="99">
        <v>72361.0</v>
      </c>
      <c r="F75" s="86"/>
      <c r="G75" s="87"/>
      <c r="H75" s="85" t="s">
        <v>221</v>
      </c>
      <c r="I75" s="85"/>
      <c r="J75" s="9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</row>
    <row r="76">
      <c r="A76" s="85" t="s">
        <v>220</v>
      </c>
      <c r="B76" s="86"/>
      <c r="C76" s="87"/>
      <c r="D76" s="87"/>
      <c r="E76" s="99">
        <v>79448.0</v>
      </c>
      <c r="F76" s="86"/>
      <c r="G76" s="87"/>
      <c r="H76" s="85" t="s">
        <v>222</v>
      </c>
      <c r="I76" s="85"/>
      <c r="J76" s="9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</row>
    <row r="77">
      <c r="A77" s="85" t="s">
        <v>223</v>
      </c>
      <c r="B77" s="86"/>
      <c r="C77" s="86">
        <v>147.0</v>
      </c>
      <c r="D77" s="86">
        <v>49000.0</v>
      </c>
      <c r="E77" s="99"/>
      <c r="F77" s="86"/>
      <c r="G77" s="87"/>
      <c r="H77" s="85" t="s">
        <v>224</v>
      </c>
      <c r="I77" s="85"/>
      <c r="J77" s="9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</row>
    <row r="78">
      <c r="A78" s="85" t="s">
        <v>225</v>
      </c>
      <c r="B78" s="86"/>
      <c r="C78" s="87"/>
      <c r="D78" s="86">
        <v>4250.0</v>
      </c>
      <c r="E78" s="99"/>
      <c r="F78" s="86"/>
      <c r="G78" s="87"/>
      <c r="H78" s="85" t="s">
        <v>156</v>
      </c>
      <c r="I78" s="85"/>
      <c r="J78" s="9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</row>
    <row r="79">
      <c r="A79" s="85" t="s">
        <v>226</v>
      </c>
      <c r="B79" s="86"/>
      <c r="C79" s="86">
        <v>14.0</v>
      </c>
      <c r="D79" s="86">
        <v>4840.0</v>
      </c>
      <c r="E79" s="99"/>
      <c r="F79" s="86"/>
      <c r="G79" s="87"/>
      <c r="H79" s="85" t="s">
        <v>227</v>
      </c>
      <c r="I79" s="85"/>
      <c r="J79" s="9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</row>
    <row r="80">
      <c r="A80" s="85" t="s">
        <v>228</v>
      </c>
      <c r="B80" s="86"/>
      <c r="C80" s="87"/>
      <c r="D80" s="87"/>
      <c r="E80" s="99">
        <v>130864.0</v>
      </c>
      <c r="F80" s="86"/>
      <c r="G80" s="87"/>
      <c r="H80" s="85" t="s">
        <v>229</v>
      </c>
      <c r="I80" s="85"/>
      <c r="J80" s="9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</row>
    <row r="81">
      <c r="A81" s="85" t="s">
        <v>230</v>
      </c>
      <c r="B81" s="86"/>
      <c r="C81" s="87"/>
      <c r="D81" s="87"/>
      <c r="E81" s="99">
        <v>64242.0</v>
      </c>
      <c r="F81" s="86"/>
      <c r="G81" s="87"/>
      <c r="H81" s="85" t="s">
        <v>231</v>
      </c>
      <c r="I81" s="85"/>
      <c r="J81" s="9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</row>
    <row r="82">
      <c r="A82" s="85" t="s">
        <v>93</v>
      </c>
      <c r="B82" s="86"/>
      <c r="C82" s="86">
        <v>73.0</v>
      </c>
      <c r="D82" s="86">
        <v>24600.0</v>
      </c>
      <c r="E82" s="99"/>
      <c r="F82" s="86"/>
      <c r="G82" s="87"/>
      <c r="H82" s="85" t="s">
        <v>232</v>
      </c>
      <c r="I82" s="85"/>
      <c r="J82" s="9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</row>
    <row r="83">
      <c r="A83" s="85" t="s">
        <v>93</v>
      </c>
      <c r="B83" s="86"/>
      <c r="C83" s="87"/>
      <c r="D83" s="86">
        <v>72000.0</v>
      </c>
      <c r="E83" s="99"/>
      <c r="F83" s="86"/>
      <c r="G83" s="87"/>
      <c r="H83" s="85" t="s">
        <v>233</v>
      </c>
      <c r="I83" s="85"/>
      <c r="J83" s="9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</row>
    <row r="84">
      <c r="A84" s="85" t="s">
        <v>234</v>
      </c>
      <c r="B84" s="86"/>
      <c r="C84" s="87"/>
      <c r="D84" s="87"/>
      <c r="E84" s="99">
        <v>82071.0</v>
      </c>
      <c r="F84" s="86"/>
      <c r="G84" s="87"/>
      <c r="H84" s="85" t="s">
        <v>235</v>
      </c>
      <c r="I84" s="85"/>
      <c r="J84" s="9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</row>
    <row r="85">
      <c r="A85" s="85" t="s">
        <v>236</v>
      </c>
      <c r="B85" s="86"/>
      <c r="C85" s="87"/>
      <c r="D85" s="87"/>
      <c r="E85" s="99">
        <v>81993.0</v>
      </c>
      <c r="F85" s="86"/>
      <c r="G85" s="87"/>
      <c r="H85" s="85" t="s">
        <v>237</v>
      </c>
      <c r="I85" s="85"/>
      <c r="J85" s="9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</row>
    <row r="86">
      <c r="A86" s="85" t="s">
        <v>238</v>
      </c>
      <c r="B86" s="86"/>
      <c r="C86" s="87"/>
      <c r="D86" s="87"/>
      <c r="E86" s="99">
        <v>59575.0</v>
      </c>
      <c r="F86" s="86"/>
      <c r="G86" s="87"/>
      <c r="H86" s="85" t="s">
        <v>239</v>
      </c>
      <c r="I86" s="85"/>
      <c r="J86" s="9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</row>
    <row r="87">
      <c r="A87" s="88" t="s">
        <v>240</v>
      </c>
      <c r="B87" s="89">
        <f t="shared" ref="B87:F87" si="5">SUM(B70:B86)</f>
        <v>0</v>
      </c>
      <c r="C87" s="90">
        <f t="shared" si="5"/>
        <v>239</v>
      </c>
      <c r="D87" s="90">
        <f t="shared" si="5"/>
        <v>333190</v>
      </c>
      <c r="E87" s="90">
        <f t="shared" si="5"/>
        <v>642402</v>
      </c>
      <c r="F87" s="90">
        <f t="shared" si="5"/>
        <v>0</v>
      </c>
      <c r="G87" s="90">
        <f>E87-D87-F87+C87</f>
        <v>309451</v>
      </c>
      <c r="H87" s="91"/>
      <c r="I87" s="91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</row>
    <row r="88">
      <c r="A88" s="100" t="s">
        <v>241</v>
      </c>
      <c r="B88" s="101"/>
      <c r="C88" s="101"/>
      <c r="D88" s="101"/>
      <c r="E88" s="102">
        <v>56076.0</v>
      </c>
      <c r="F88" s="101"/>
      <c r="G88" s="101"/>
      <c r="H88" s="100" t="s">
        <v>242</v>
      </c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</row>
    <row r="89">
      <c r="A89" s="100" t="s">
        <v>241</v>
      </c>
      <c r="B89" s="101"/>
      <c r="C89" s="101"/>
      <c r="D89" s="101"/>
      <c r="E89" s="102">
        <v>62637.0</v>
      </c>
      <c r="F89" s="101"/>
      <c r="G89" s="101"/>
      <c r="H89" s="100" t="s">
        <v>243</v>
      </c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</row>
    <row r="90">
      <c r="A90" s="100" t="s">
        <v>241</v>
      </c>
      <c r="B90" s="101"/>
      <c r="C90" s="101"/>
      <c r="D90" s="101"/>
      <c r="E90" s="102">
        <v>65091.0</v>
      </c>
      <c r="F90" s="101"/>
      <c r="G90" s="101"/>
      <c r="H90" s="100" t="s">
        <v>244</v>
      </c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</row>
    <row r="91">
      <c r="A91" s="100" t="s">
        <v>241</v>
      </c>
      <c r="B91" s="101"/>
      <c r="C91" s="101"/>
      <c r="D91" s="101"/>
      <c r="E91" s="102">
        <v>25314.0</v>
      </c>
      <c r="F91" s="101"/>
      <c r="G91" s="101"/>
      <c r="H91" s="100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</row>
    <row r="92">
      <c r="A92" s="100" t="s">
        <v>245</v>
      </c>
      <c r="B92" s="101"/>
      <c r="C92" s="101"/>
      <c r="D92" s="101"/>
      <c r="E92" s="102">
        <v>45020.0</v>
      </c>
      <c r="F92" s="101"/>
      <c r="G92" s="101"/>
      <c r="H92" s="100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</row>
    <row r="93">
      <c r="A93" s="100" t="s">
        <v>246</v>
      </c>
      <c r="B93" s="101"/>
      <c r="C93" s="101"/>
      <c r="D93" s="101"/>
      <c r="E93" s="102">
        <v>58345.0</v>
      </c>
      <c r="F93" s="101"/>
      <c r="G93" s="101"/>
      <c r="H93" s="100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</row>
    <row r="94">
      <c r="A94" s="100" t="s">
        <v>247</v>
      </c>
      <c r="B94" s="101"/>
      <c r="C94" s="101"/>
      <c r="D94" s="101"/>
      <c r="E94" s="102">
        <v>12745.0</v>
      </c>
      <c r="F94" s="101"/>
      <c r="G94" s="101"/>
      <c r="H94" s="100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</row>
    <row r="95">
      <c r="A95" s="88" t="s">
        <v>248</v>
      </c>
      <c r="B95" s="89">
        <f t="shared" ref="B95:F95" si="6">SUM(B88:B94)</f>
        <v>0</v>
      </c>
      <c r="C95" s="89">
        <f t="shared" si="6"/>
        <v>0</v>
      </c>
      <c r="D95" s="89">
        <f t="shared" si="6"/>
        <v>0</v>
      </c>
      <c r="E95" s="89">
        <f t="shared" si="6"/>
        <v>325228</v>
      </c>
      <c r="F95" s="89">
        <f t="shared" si="6"/>
        <v>0</v>
      </c>
      <c r="G95" s="90">
        <f t="shared" ref="G95:G96" si="8">E95-D95-F95+C95</f>
        <v>325228</v>
      </c>
      <c r="H95" s="91"/>
      <c r="I95" s="91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</row>
    <row r="96">
      <c r="A96" s="104" t="s">
        <v>137</v>
      </c>
      <c r="B96" s="105">
        <f t="shared" ref="B96:E96" si="7">SUM(B5,B15,B45,B69,B87,B95)</f>
        <v>740000</v>
      </c>
      <c r="C96" s="105">
        <f t="shared" si="7"/>
        <v>33939</v>
      </c>
      <c r="D96" s="105">
        <f t="shared" si="7"/>
        <v>1421169</v>
      </c>
      <c r="E96" s="105">
        <f t="shared" si="7"/>
        <v>1267968</v>
      </c>
      <c r="F96" s="105">
        <f>SUM(F2:F87)-F5-F15-F45-F69-F87</f>
        <v>0</v>
      </c>
      <c r="G96" s="105">
        <f t="shared" si="8"/>
        <v>-119262</v>
      </c>
      <c r="H96" s="106"/>
      <c r="I96" s="106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</row>
    <row r="1012">
      <c r="A1012" s="84"/>
      <c r="B1012" s="84"/>
      <c r="C1012" s="84"/>
      <c r="D1012" s="84"/>
      <c r="E1012" s="84"/>
      <c r="F1012" s="84"/>
      <c r="G1012" s="84"/>
      <c r="H1012" s="84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  <c r="Z1012" s="84"/>
      <c r="AA1012" s="84"/>
      <c r="AB1012" s="84"/>
    </row>
    <row r="1013">
      <c r="A1013" s="84"/>
      <c r="B1013" s="84"/>
      <c r="C1013" s="84"/>
      <c r="D1013" s="84"/>
      <c r="E1013" s="84"/>
      <c r="F1013" s="84"/>
      <c r="G1013" s="84"/>
      <c r="H1013" s="84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  <c r="AA1013" s="84"/>
      <c r="AB1013" s="84"/>
    </row>
    <row r="1014">
      <c r="A1014" s="84"/>
      <c r="B1014" s="84"/>
      <c r="C1014" s="84"/>
      <c r="D1014" s="84"/>
      <c r="E1014" s="84"/>
      <c r="F1014" s="84"/>
      <c r="G1014" s="84"/>
      <c r="H1014" s="84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  <c r="Z1014" s="84"/>
      <c r="AA1014" s="84"/>
      <c r="AB1014" s="84"/>
    </row>
    <row r="1015">
      <c r="A1015" s="84"/>
      <c r="B1015" s="84"/>
      <c r="C1015" s="84"/>
      <c r="D1015" s="84"/>
      <c r="E1015" s="84"/>
      <c r="F1015" s="84"/>
      <c r="G1015" s="84"/>
      <c r="H1015" s="84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  <c r="Z1015" s="84"/>
      <c r="AA1015" s="84"/>
      <c r="AB1015" s="84"/>
    </row>
    <row r="1016">
      <c r="A1016" s="84"/>
      <c r="B1016" s="84"/>
      <c r="C1016" s="84"/>
      <c r="D1016" s="84"/>
      <c r="E1016" s="84"/>
      <c r="F1016" s="84"/>
      <c r="G1016" s="84"/>
      <c r="H1016" s="84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  <c r="Z1016" s="84"/>
      <c r="AA1016" s="84"/>
      <c r="AB1016" s="84"/>
    </row>
    <row r="1017">
      <c r="A1017" s="84"/>
      <c r="B1017" s="84"/>
      <c r="C1017" s="84"/>
      <c r="D1017" s="84"/>
      <c r="E1017" s="84"/>
      <c r="F1017" s="84"/>
      <c r="G1017" s="84"/>
      <c r="H1017" s="84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  <c r="Z1017" s="84"/>
      <c r="AA1017" s="84"/>
      <c r="AB1017" s="84"/>
    </row>
    <row r="1018">
      <c r="A1018" s="84"/>
      <c r="B1018" s="84"/>
      <c r="C1018" s="84"/>
      <c r="D1018" s="84"/>
      <c r="E1018" s="84"/>
      <c r="F1018" s="84"/>
      <c r="G1018" s="84"/>
      <c r="H1018" s="84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  <c r="Z1018" s="84"/>
      <c r="AA1018" s="84"/>
      <c r="AB1018" s="84"/>
    </row>
    <row r="1019">
      <c r="A1019" s="84"/>
      <c r="B1019" s="84"/>
      <c r="C1019" s="84"/>
      <c r="D1019" s="84"/>
      <c r="E1019" s="84"/>
      <c r="F1019" s="84"/>
      <c r="G1019" s="84"/>
      <c r="H1019" s="84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  <c r="Z1019" s="84"/>
      <c r="AA1019" s="84"/>
      <c r="AB1019" s="84"/>
    </row>
    <row r="1020">
      <c r="A1020" s="84"/>
      <c r="B1020" s="84"/>
      <c r="C1020" s="84"/>
      <c r="D1020" s="84"/>
      <c r="E1020" s="84"/>
      <c r="F1020" s="84"/>
      <c r="G1020" s="84"/>
      <c r="H1020" s="84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  <c r="Z1020" s="84"/>
      <c r="AA1020" s="84"/>
      <c r="AB1020" s="84"/>
    </row>
    <row r="1021">
      <c r="A1021" s="84"/>
      <c r="B1021" s="84"/>
      <c r="C1021" s="84"/>
      <c r="D1021" s="84"/>
      <c r="E1021" s="84"/>
      <c r="F1021" s="84"/>
      <c r="G1021" s="84"/>
      <c r="H1021" s="84"/>
      <c r="I1021" s="84"/>
      <c r="J1021" s="84"/>
      <c r="K1021" s="84"/>
      <c r="L1021" s="84"/>
      <c r="M1021" s="84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  <c r="Z1021" s="84"/>
      <c r="AA1021" s="84"/>
      <c r="AB1021" s="84"/>
    </row>
    <row r="1022">
      <c r="A1022" s="84"/>
      <c r="B1022" s="84"/>
      <c r="C1022" s="84"/>
      <c r="D1022" s="84"/>
      <c r="E1022" s="84"/>
      <c r="F1022" s="84"/>
      <c r="G1022" s="84"/>
      <c r="H1022" s="84"/>
      <c r="I1022" s="84"/>
      <c r="J1022" s="84"/>
      <c r="K1022" s="84"/>
      <c r="L1022" s="84"/>
      <c r="M1022" s="84"/>
      <c r="N1022" s="84"/>
      <c r="O1022" s="84"/>
      <c r="P1022" s="84"/>
      <c r="Q1022" s="84"/>
      <c r="R1022" s="84"/>
      <c r="S1022" s="84"/>
      <c r="T1022" s="84"/>
      <c r="U1022" s="84"/>
      <c r="V1022" s="84"/>
      <c r="W1022" s="84"/>
      <c r="X1022" s="84"/>
      <c r="Y1022" s="84"/>
      <c r="Z1022" s="84"/>
      <c r="AA1022" s="84"/>
      <c r="AB1022" s="84"/>
    </row>
    <row r="1023">
      <c r="A1023" s="84"/>
      <c r="B1023" s="84"/>
      <c r="C1023" s="84"/>
      <c r="D1023" s="84"/>
      <c r="E1023" s="84"/>
      <c r="F1023" s="84"/>
      <c r="G1023" s="84"/>
      <c r="H1023" s="84"/>
      <c r="I1023" s="84"/>
      <c r="J1023" s="84"/>
      <c r="K1023" s="84"/>
      <c r="L1023" s="84"/>
      <c r="M1023" s="84"/>
      <c r="N1023" s="84"/>
      <c r="O1023" s="84"/>
      <c r="P1023" s="84"/>
      <c r="Q1023" s="84"/>
      <c r="R1023" s="84"/>
      <c r="S1023" s="84"/>
      <c r="T1023" s="84"/>
      <c r="U1023" s="84"/>
      <c r="V1023" s="84"/>
      <c r="W1023" s="84"/>
      <c r="X1023" s="84"/>
      <c r="Y1023" s="84"/>
      <c r="Z1023" s="84"/>
      <c r="AA1023" s="84"/>
      <c r="AB1023" s="84"/>
    </row>
    <row r="1024">
      <c r="A1024" s="84"/>
      <c r="B1024" s="84"/>
      <c r="C1024" s="84"/>
      <c r="D1024" s="84"/>
      <c r="E1024" s="84"/>
      <c r="F1024" s="84"/>
      <c r="G1024" s="84"/>
      <c r="H1024" s="84"/>
      <c r="I1024" s="84"/>
      <c r="J1024" s="84"/>
      <c r="K1024" s="84"/>
      <c r="L1024" s="84"/>
      <c r="M1024" s="84"/>
      <c r="N1024" s="84"/>
      <c r="O1024" s="84"/>
      <c r="P1024" s="84"/>
      <c r="Q1024" s="84"/>
      <c r="R1024" s="84"/>
      <c r="S1024" s="84"/>
      <c r="T1024" s="84"/>
      <c r="U1024" s="84"/>
      <c r="V1024" s="84"/>
      <c r="W1024" s="84"/>
      <c r="X1024" s="84"/>
      <c r="Y1024" s="84"/>
      <c r="Z1024" s="84"/>
      <c r="AA1024" s="84"/>
      <c r="AB1024" s="84"/>
    </row>
    <row r="1025">
      <c r="A1025" s="84"/>
      <c r="B1025" s="84"/>
      <c r="C1025" s="84"/>
      <c r="D1025" s="84"/>
      <c r="E1025" s="84"/>
      <c r="F1025" s="84"/>
      <c r="G1025" s="84"/>
      <c r="H1025" s="84"/>
      <c r="I1025" s="84"/>
      <c r="J1025" s="84"/>
      <c r="K1025" s="84"/>
      <c r="L1025" s="84"/>
      <c r="M1025" s="84"/>
      <c r="N1025" s="84"/>
      <c r="O1025" s="84"/>
      <c r="P1025" s="84"/>
      <c r="Q1025" s="84"/>
      <c r="R1025" s="84"/>
      <c r="S1025" s="84"/>
      <c r="T1025" s="84"/>
      <c r="U1025" s="84"/>
      <c r="V1025" s="84"/>
      <c r="W1025" s="84"/>
      <c r="X1025" s="84"/>
      <c r="Y1025" s="84"/>
      <c r="Z1025" s="84"/>
      <c r="AA1025" s="84"/>
      <c r="AB1025" s="84"/>
    </row>
    <row r="1026">
      <c r="A1026" s="84"/>
      <c r="B1026" s="84"/>
      <c r="C1026" s="84"/>
      <c r="D1026" s="84"/>
      <c r="E1026" s="84"/>
      <c r="F1026" s="84"/>
      <c r="G1026" s="84"/>
      <c r="H1026" s="84"/>
      <c r="I1026" s="84"/>
      <c r="J1026" s="84"/>
      <c r="K1026" s="84"/>
      <c r="L1026" s="84"/>
      <c r="M1026" s="84"/>
      <c r="N1026" s="84"/>
      <c r="O1026" s="84"/>
      <c r="P1026" s="84"/>
      <c r="Q1026" s="84"/>
      <c r="R1026" s="84"/>
      <c r="S1026" s="84"/>
      <c r="T1026" s="84"/>
      <c r="U1026" s="84"/>
      <c r="V1026" s="84"/>
      <c r="W1026" s="84"/>
      <c r="X1026" s="84"/>
      <c r="Y1026" s="84"/>
      <c r="Z1026" s="84"/>
      <c r="AA1026" s="84"/>
      <c r="AB1026" s="84"/>
    </row>
    <row r="1027">
      <c r="A1027" s="84"/>
      <c r="B1027" s="84"/>
      <c r="C1027" s="84"/>
      <c r="D1027" s="84"/>
      <c r="E1027" s="84"/>
      <c r="F1027" s="84"/>
      <c r="G1027" s="84"/>
      <c r="H1027" s="84"/>
      <c r="I1027" s="84"/>
      <c r="J1027" s="84"/>
      <c r="K1027" s="84"/>
      <c r="L1027" s="84"/>
      <c r="M1027" s="84"/>
      <c r="N1027" s="84"/>
      <c r="O1027" s="84"/>
      <c r="P1027" s="84"/>
      <c r="Q1027" s="84"/>
      <c r="R1027" s="84"/>
      <c r="S1027" s="84"/>
      <c r="T1027" s="84"/>
      <c r="U1027" s="84"/>
      <c r="V1027" s="84"/>
      <c r="W1027" s="84"/>
      <c r="X1027" s="84"/>
      <c r="Y1027" s="84"/>
      <c r="Z1027" s="84"/>
      <c r="AA1027" s="84"/>
      <c r="AB1027" s="84"/>
    </row>
    <row r="1028">
      <c r="A1028" s="84"/>
      <c r="B1028" s="84"/>
      <c r="C1028" s="84"/>
      <c r="D1028" s="84"/>
      <c r="E1028" s="84"/>
      <c r="F1028" s="84"/>
      <c r="G1028" s="84"/>
      <c r="H1028" s="84"/>
      <c r="I1028" s="84"/>
      <c r="J1028" s="84"/>
      <c r="K1028" s="84"/>
      <c r="L1028" s="84"/>
      <c r="M1028" s="84"/>
      <c r="N1028" s="84"/>
      <c r="O1028" s="84"/>
      <c r="P1028" s="84"/>
      <c r="Q1028" s="84"/>
      <c r="R1028" s="84"/>
      <c r="S1028" s="84"/>
      <c r="T1028" s="84"/>
      <c r="U1028" s="84"/>
      <c r="V1028" s="84"/>
      <c r="W1028" s="84"/>
      <c r="X1028" s="84"/>
      <c r="Y1028" s="84"/>
      <c r="Z1028" s="84"/>
      <c r="AA1028" s="84"/>
      <c r="AB1028" s="84"/>
    </row>
    <row r="1029">
      <c r="A1029" s="84"/>
      <c r="B1029" s="84"/>
      <c r="C1029" s="84"/>
      <c r="D1029" s="84"/>
      <c r="E1029" s="84"/>
      <c r="F1029" s="84"/>
      <c r="G1029" s="84"/>
      <c r="H1029" s="84"/>
      <c r="I1029" s="84"/>
      <c r="J1029" s="84"/>
      <c r="K1029" s="84"/>
      <c r="L1029" s="84"/>
      <c r="M1029" s="84"/>
      <c r="N1029" s="84"/>
      <c r="O1029" s="84"/>
      <c r="P1029" s="84"/>
      <c r="Q1029" s="84"/>
      <c r="R1029" s="84"/>
      <c r="S1029" s="84"/>
      <c r="T1029" s="84"/>
      <c r="U1029" s="84"/>
      <c r="V1029" s="84"/>
      <c r="W1029" s="84"/>
      <c r="X1029" s="84"/>
      <c r="Y1029" s="84"/>
      <c r="Z1029" s="84"/>
      <c r="AA1029" s="84"/>
      <c r="AB1029" s="84"/>
    </row>
    <row r="1030">
      <c r="A1030" s="84"/>
      <c r="B1030" s="84"/>
      <c r="C1030" s="84"/>
      <c r="D1030" s="84"/>
      <c r="E1030" s="84"/>
      <c r="F1030" s="84"/>
      <c r="G1030" s="84"/>
      <c r="H1030" s="84"/>
      <c r="I1030" s="84"/>
      <c r="J1030" s="84"/>
      <c r="K1030" s="84"/>
      <c r="L1030" s="84"/>
      <c r="M1030" s="84"/>
      <c r="N1030" s="84"/>
      <c r="O1030" s="84"/>
      <c r="P1030" s="84"/>
      <c r="Q1030" s="84"/>
      <c r="R1030" s="84"/>
      <c r="S1030" s="84"/>
      <c r="T1030" s="84"/>
      <c r="U1030" s="84"/>
      <c r="V1030" s="84"/>
      <c r="W1030" s="84"/>
      <c r="X1030" s="84"/>
      <c r="Y1030" s="84"/>
      <c r="Z1030" s="84"/>
      <c r="AA1030" s="84"/>
      <c r="AB1030" s="84"/>
    </row>
    <row r="1031">
      <c r="A1031" s="84"/>
      <c r="B1031" s="84"/>
      <c r="C1031" s="84"/>
      <c r="D1031" s="84"/>
      <c r="E1031" s="84"/>
      <c r="F1031" s="84"/>
      <c r="G1031" s="84"/>
      <c r="H1031" s="84"/>
      <c r="I1031" s="84"/>
      <c r="J1031" s="84"/>
      <c r="K1031" s="84"/>
      <c r="L1031" s="84"/>
      <c r="M1031" s="84"/>
      <c r="N1031" s="84"/>
      <c r="O1031" s="84"/>
      <c r="P1031" s="84"/>
      <c r="Q1031" s="84"/>
      <c r="R1031" s="84"/>
      <c r="S1031" s="84"/>
      <c r="T1031" s="84"/>
      <c r="U1031" s="84"/>
      <c r="V1031" s="84"/>
      <c r="W1031" s="84"/>
      <c r="X1031" s="84"/>
      <c r="Y1031" s="84"/>
      <c r="Z1031" s="84"/>
      <c r="AA1031" s="84"/>
      <c r="AB1031" s="84"/>
    </row>
    <row r="1032">
      <c r="A1032" s="84"/>
      <c r="B1032" s="84"/>
      <c r="C1032" s="84"/>
      <c r="D1032" s="84"/>
      <c r="E1032" s="84"/>
      <c r="F1032" s="84"/>
      <c r="G1032" s="84"/>
      <c r="H1032" s="84"/>
      <c r="I1032" s="84"/>
      <c r="J1032" s="84"/>
      <c r="K1032" s="84"/>
      <c r="L1032" s="84"/>
      <c r="M1032" s="84"/>
      <c r="N1032" s="84"/>
      <c r="O1032" s="84"/>
      <c r="P1032" s="84"/>
      <c r="Q1032" s="84"/>
      <c r="R1032" s="84"/>
      <c r="S1032" s="84"/>
      <c r="T1032" s="84"/>
      <c r="U1032" s="84"/>
      <c r="V1032" s="84"/>
      <c r="W1032" s="84"/>
      <c r="X1032" s="84"/>
      <c r="Y1032" s="84"/>
      <c r="Z1032" s="84"/>
      <c r="AA1032" s="84"/>
      <c r="AB1032" s="84"/>
    </row>
    <row r="1033">
      <c r="A1033" s="84"/>
      <c r="B1033" s="84"/>
      <c r="C1033" s="84"/>
      <c r="D1033" s="84"/>
      <c r="E1033" s="84"/>
      <c r="F1033" s="84"/>
      <c r="G1033" s="84"/>
      <c r="H1033" s="84"/>
      <c r="I1033" s="84"/>
      <c r="J1033" s="84"/>
      <c r="K1033" s="84"/>
      <c r="L1033" s="84"/>
      <c r="M1033" s="84"/>
      <c r="N1033" s="84"/>
      <c r="O1033" s="84"/>
      <c r="P1033" s="84"/>
      <c r="Q1033" s="84"/>
      <c r="R1033" s="84"/>
      <c r="S1033" s="84"/>
      <c r="T1033" s="84"/>
      <c r="U1033" s="84"/>
      <c r="V1033" s="84"/>
      <c r="W1033" s="84"/>
      <c r="X1033" s="84"/>
      <c r="Y1033" s="84"/>
      <c r="Z1033" s="84"/>
      <c r="AA1033" s="84"/>
      <c r="AB1033" s="84"/>
    </row>
    <row r="1034">
      <c r="A1034" s="84"/>
      <c r="B1034" s="84"/>
      <c r="C1034" s="84"/>
      <c r="D1034" s="84"/>
      <c r="E1034" s="84"/>
      <c r="F1034" s="84"/>
      <c r="G1034" s="84"/>
      <c r="H1034" s="84"/>
      <c r="I1034" s="84"/>
      <c r="J1034" s="84"/>
      <c r="K1034" s="84"/>
      <c r="L1034" s="84"/>
      <c r="M1034" s="84"/>
      <c r="N1034" s="84"/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  <c r="Z1034" s="84"/>
      <c r="AA1034" s="84"/>
      <c r="AB1034" s="84"/>
    </row>
    <row r="1035">
      <c r="A1035" s="84"/>
      <c r="B1035" s="84"/>
      <c r="C1035" s="84"/>
      <c r="D1035" s="84"/>
      <c r="E1035" s="84"/>
      <c r="F1035" s="84"/>
      <c r="G1035" s="84"/>
      <c r="H1035" s="84"/>
      <c r="I1035" s="84"/>
      <c r="J1035" s="84"/>
      <c r="K1035" s="84"/>
      <c r="L1035" s="84"/>
      <c r="M1035" s="84"/>
      <c r="N1035" s="84"/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  <c r="Z1035" s="84"/>
      <c r="AA1035" s="84"/>
      <c r="AB1035" s="84"/>
    </row>
    <row r="1036">
      <c r="A1036" s="84"/>
      <c r="B1036" s="84"/>
      <c r="C1036" s="84"/>
      <c r="D1036" s="84"/>
      <c r="E1036" s="84"/>
      <c r="F1036" s="84"/>
      <c r="G1036" s="84"/>
      <c r="H1036" s="84"/>
      <c r="I1036" s="84"/>
      <c r="J1036" s="84"/>
      <c r="K1036" s="84"/>
      <c r="L1036" s="84"/>
      <c r="M1036" s="84"/>
      <c r="N1036" s="84"/>
      <c r="O1036" s="84"/>
      <c r="P1036" s="84"/>
      <c r="Q1036" s="84"/>
      <c r="R1036" s="84"/>
      <c r="S1036" s="84"/>
      <c r="T1036" s="84"/>
      <c r="U1036" s="84"/>
      <c r="V1036" s="84"/>
      <c r="W1036" s="84"/>
      <c r="X1036" s="84"/>
      <c r="Y1036" s="84"/>
      <c r="Z1036" s="84"/>
      <c r="AA1036" s="84"/>
      <c r="AB1036" s="84"/>
    </row>
    <row r="1037">
      <c r="A1037" s="84"/>
      <c r="B1037" s="84"/>
      <c r="C1037" s="84"/>
      <c r="D1037" s="84"/>
      <c r="E1037" s="84"/>
      <c r="F1037" s="84"/>
      <c r="G1037" s="84"/>
      <c r="H1037" s="84"/>
      <c r="I1037" s="84"/>
      <c r="J1037" s="84"/>
      <c r="K1037" s="84"/>
      <c r="L1037" s="84"/>
      <c r="M1037" s="84"/>
      <c r="N1037" s="84"/>
      <c r="O1037" s="84"/>
      <c r="P1037" s="84"/>
      <c r="Q1037" s="84"/>
      <c r="R1037" s="84"/>
      <c r="S1037" s="84"/>
      <c r="T1037" s="84"/>
      <c r="U1037" s="84"/>
      <c r="V1037" s="84"/>
      <c r="W1037" s="84"/>
      <c r="X1037" s="84"/>
      <c r="Y1037" s="84"/>
      <c r="Z1037" s="84"/>
      <c r="AA1037" s="84"/>
      <c r="AB1037" s="84"/>
    </row>
    <row r="1038">
      <c r="A1038" s="84"/>
      <c r="B1038" s="84"/>
      <c r="C1038" s="84"/>
      <c r="D1038" s="84"/>
      <c r="E1038" s="84"/>
      <c r="F1038" s="84"/>
      <c r="G1038" s="84"/>
      <c r="H1038" s="84"/>
      <c r="I1038" s="84"/>
      <c r="J1038" s="84"/>
      <c r="K1038" s="84"/>
      <c r="L1038" s="84"/>
      <c r="M1038" s="84"/>
      <c r="N1038" s="84"/>
      <c r="O1038" s="84"/>
      <c r="P1038" s="84"/>
      <c r="Q1038" s="84"/>
      <c r="R1038" s="84"/>
      <c r="S1038" s="84"/>
      <c r="T1038" s="84"/>
      <c r="U1038" s="84"/>
      <c r="V1038" s="84"/>
      <c r="W1038" s="84"/>
      <c r="X1038" s="84"/>
      <c r="Y1038" s="84"/>
      <c r="Z1038" s="84"/>
      <c r="AA1038" s="84"/>
      <c r="AB1038" s="84"/>
    </row>
    <row r="1039">
      <c r="A1039" s="84"/>
      <c r="B1039" s="84"/>
      <c r="C1039" s="84"/>
      <c r="D1039" s="84"/>
      <c r="E1039" s="84"/>
      <c r="F1039" s="84"/>
      <c r="G1039" s="84"/>
      <c r="H1039" s="84"/>
      <c r="I1039" s="84"/>
      <c r="J1039" s="84"/>
      <c r="K1039" s="84"/>
      <c r="L1039" s="84"/>
      <c r="M1039" s="84"/>
      <c r="N1039" s="84"/>
      <c r="O1039" s="84"/>
      <c r="P1039" s="84"/>
      <c r="Q1039" s="84"/>
      <c r="R1039" s="84"/>
      <c r="S1039" s="84"/>
      <c r="T1039" s="84"/>
      <c r="U1039" s="84"/>
      <c r="V1039" s="84"/>
      <c r="W1039" s="84"/>
      <c r="X1039" s="84"/>
      <c r="Y1039" s="84"/>
      <c r="Z1039" s="84"/>
      <c r="AA1039" s="84"/>
      <c r="AB1039" s="84"/>
    </row>
    <row r="1040">
      <c r="A1040" s="84"/>
      <c r="B1040" s="84"/>
      <c r="C1040" s="84"/>
      <c r="D1040" s="84"/>
      <c r="E1040" s="84"/>
      <c r="F1040" s="84"/>
      <c r="G1040" s="84"/>
      <c r="H1040" s="84"/>
      <c r="I1040" s="84"/>
      <c r="J1040" s="84"/>
      <c r="K1040" s="84"/>
      <c r="L1040" s="84"/>
      <c r="M1040" s="84"/>
      <c r="N1040" s="84"/>
      <c r="O1040" s="84"/>
      <c r="P1040" s="84"/>
      <c r="Q1040" s="84"/>
      <c r="R1040" s="84"/>
      <c r="S1040" s="84"/>
      <c r="T1040" s="84"/>
      <c r="U1040" s="84"/>
      <c r="V1040" s="84"/>
      <c r="W1040" s="84"/>
      <c r="X1040" s="84"/>
      <c r="Y1040" s="84"/>
      <c r="Z1040" s="84"/>
      <c r="AA1040" s="84"/>
      <c r="AB1040" s="84"/>
    </row>
    <row r="1041">
      <c r="A1041" s="84"/>
      <c r="B1041" s="84"/>
      <c r="C1041" s="84"/>
      <c r="D1041" s="84"/>
      <c r="E1041" s="84"/>
      <c r="F1041" s="84"/>
      <c r="G1041" s="84"/>
      <c r="H1041" s="84"/>
      <c r="I1041" s="84"/>
      <c r="J1041" s="84"/>
      <c r="K1041" s="84"/>
      <c r="L1041" s="84"/>
      <c r="M1041" s="84"/>
      <c r="N1041" s="84"/>
      <c r="O1041" s="84"/>
      <c r="P1041" s="84"/>
      <c r="Q1041" s="84"/>
      <c r="R1041" s="84"/>
      <c r="S1041" s="84"/>
      <c r="T1041" s="84"/>
      <c r="U1041" s="84"/>
      <c r="V1041" s="84"/>
      <c r="W1041" s="84"/>
      <c r="X1041" s="84"/>
      <c r="Y1041" s="84"/>
      <c r="Z1041" s="84"/>
      <c r="AA1041" s="84"/>
      <c r="AB1041" s="84"/>
    </row>
    <row r="1042">
      <c r="A1042" s="84"/>
      <c r="B1042" s="84"/>
      <c r="C1042" s="84"/>
      <c r="D1042" s="84"/>
      <c r="E1042" s="84"/>
      <c r="F1042" s="84"/>
      <c r="G1042" s="84"/>
      <c r="H1042" s="84"/>
      <c r="I1042" s="84"/>
      <c r="J1042" s="84"/>
      <c r="K1042" s="84"/>
      <c r="L1042" s="84"/>
      <c r="M1042" s="84"/>
      <c r="N1042" s="84"/>
      <c r="O1042" s="84"/>
      <c r="P1042" s="84"/>
      <c r="Q1042" s="84"/>
      <c r="R1042" s="84"/>
      <c r="S1042" s="84"/>
      <c r="T1042" s="84"/>
      <c r="U1042" s="84"/>
      <c r="V1042" s="84"/>
      <c r="W1042" s="84"/>
      <c r="X1042" s="84"/>
      <c r="Y1042" s="84"/>
      <c r="Z1042" s="84"/>
      <c r="AA1042" s="84"/>
      <c r="AB1042" s="84"/>
    </row>
    <row r="1043">
      <c r="A1043" s="84"/>
      <c r="B1043" s="84"/>
      <c r="C1043" s="84"/>
      <c r="D1043" s="84"/>
      <c r="E1043" s="84"/>
      <c r="F1043" s="84"/>
      <c r="G1043" s="84"/>
      <c r="H1043" s="84"/>
      <c r="I1043" s="84"/>
      <c r="J1043" s="84"/>
      <c r="K1043" s="84"/>
      <c r="L1043" s="84"/>
      <c r="M1043" s="84"/>
      <c r="N1043" s="84"/>
      <c r="O1043" s="84"/>
      <c r="P1043" s="84"/>
      <c r="Q1043" s="84"/>
      <c r="R1043" s="84"/>
      <c r="S1043" s="84"/>
      <c r="T1043" s="84"/>
      <c r="U1043" s="84"/>
      <c r="V1043" s="84"/>
      <c r="W1043" s="84"/>
      <c r="X1043" s="84"/>
      <c r="Y1043" s="84"/>
      <c r="Z1043" s="84"/>
      <c r="AA1043" s="84"/>
      <c r="AB1043" s="84"/>
    </row>
    <row r="1044">
      <c r="A1044" s="84"/>
      <c r="B1044" s="84"/>
      <c r="C1044" s="84"/>
      <c r="D1044" s="84"/>
      <c r="E1044" s="84"/>
      <c r="F1044" s="84"/>
      <c r="G1044" s="84"/>
      <c r="H1044" s="84"/>
      <c r="I1044" s="84"/>
      <c r="J1044" s="84"/>
      <c r="K1044" s="84"/>
      <c r="L1044" s="84"/>
      <c r="M1044" s="84"/>
      <c r="N1044" s="84"/>
      <c r="O1044" s="84"/>
      <c r="P1044" s="84"/>
      <c r="Q1044" s="84"/>
      <c r="R1044" s="84"/>
      <c r="S1044" s="84"/>
      <c r="T1044" s="84"/>
      <c r="U1044" s="84"/>
      <c r="V1044" s="84"/>
      <c r="W1044" s="84"/>
      <c r="X1044" s="84"/>
      <c r="Y1044" s="84"/>
      <c r="Z1044" s="84"/>
      <c r="AA1044" s="84"/>
      <c r="AB1044" s="84"/>
    </row>
    <row r="1045">
      <c r="A1045" s="84"/>
      <c r="B1045" s="84"/>
      <c r="C1045" s="84"/>
      <c r="D1045" s="84"/>
      <c r="E1045" s="84"/>
      <c r="F1045" s="84"/>
      <c r="G1045" s="84"/>
      <c r="H1045" s="84"/>
      <c r="I1045" s="84"/>
      <c r="J1045" s="84"/>
      <c r="K1045" s="84"/>
      <c r="L1045" s="84"/>
      <c r="M1045" s="84"/>
      <c r="N1045" s="84"/>
      <c r="O1045" s="84"/>
      <c r="P1045" s="84"/>
      <c r="Q1045" s="84"/>
      <c r="R1045" s="84"/>
      <c r="S1045" s="84"/>
      <c r="T1045" s="84"/>
      <c r="U1045" s="84"/>
      <c r="V1045" s="84"/>
      <c r="W1045" s="84"/>
      <c r="X1045" s="84"/>
      <c r="Y1045" s="84"/>
      <c r="Z1045" s="84"/>
      <c r="AA1045" s="84"/>
      <c r="AB1045" s="84"/>
    </row>
    <row r="1046">
      <c r="A1046" s="84"/>
      <c r="B1046" s="84"/>
      <c r="C1046" s="84"/>
      <c r="D1046" s="84"/>
      <c r="E1046" s="84"/>
      <c r="F1046" s="84"/>
      <c r="G1046" s="84"/>
      <c r="H1046" s="84"/>
      <c r="I1046" s="84"/>
      <c r="J1046" s="84"/>
      <c r="K1046" s="84"/>
      <c r="L1046" s="84"/>
      <c r="M1046" s="84"/>
      <c r="N1046" s="84"/>
      <c r="O1046" s="84"/>
      <c r="P1046" s="84"/>
      <c r="Q1046" s="84"/>
      <c r="R1046" s="84"/>
      <c r="S1046" s="84"/>
      <c r="T1046" s="84"/>
      <c r="U1046" s="84"/>
      <c r="V1046" s="84"/>
      <c r="W1046" s="84"/>
      <c r="X1046" s="84"/>
      <c r="Y1046" s="84"/>
      <c r="Z1046" s="84"/>
      <c r="AA1046" s="84"/>
      <c r="AB1046" s="84"/>
    </row>
    <row r="1047">
      <c r="A1047" s="84"/>
      <c r="B1047" s="84"/>
      <c r="C1047" s="84"/>
      <c r="D1047" s="84"/>
      <c r="E1047" s="84"/>
      <c r="F1047" s="84"/>
      <c r="G1047" s="84"/>
      <c r="H1047" s="84"/>
      <c r="I1047" s="84"/>
      <c r="J1047" s="84"/>
      <c r="K1047" s="84"/>
      <c r="L1047" s="84"/>
      <c r="M1047" s="84"/>
      <c r="N1047" s="84"/>
      <c r="O1047" s="84"/>
      <c r="P1047" s="84"/>
      <c r="Q1047" s="84"/>
      <c r="R1047" s="84"/>
      <c r="S1047" s="84"/>
      <c r="T1047" s="84"/>
      <c r="U1047" s="84"/>
      <c r="V1047" s="84"/>
      <c r="W1047" s="84"/>
      <c r="X1047" s="84"/>
      <c r="Y1047" s="84"/>
      <c r="Z1047" s="84"/>
      <c r="AA1047" s="84"/>
      <c r="AB1047" s="84"/>
    </row>
    <row r="1048">
      <c r="A1048" s="84"/>
      <c r="B1048" s="84"/>
      <c r="C1048" s="84"/>
      <c r="D1048" s="84"/>
      <c r="E1048" s="84"/>
      <c r="F1048" s="84"/>
      <c r="G1048" s="84"/>
      <c r="H1048" s="84"/>
      <c r="I1048" s="84"/>
      <c r="J1048" s="84"/>
      <c r="K1048" s="84"/>
      <c r="L1048" s="84"/>
      <c r="M1048" s="84"/>
      <c r="N1048" s="84"/>
      <c r="O1048" s="84"/>
      <c r="P1048" s="84"/>
      <c r="Q1048" s="84"/>
      <c r="R1048" s="84"/>
      <c r="S1048" s="84"/>
      <c r="T1048" s="84"/>
      <c r="U1048" s="84"/>
      <c r="V1048" s="84"/>
      <c r="W1048" s="84"/>
      <c r="X1048" s="84"/>
      <c r="Y1048" s="84"/>
      <c r="Z1048" s="84"/>
      <c r="AA1048" s="84"/>
      <c r="AB1048" s="84"/>
    </row>
    <row r="1049">
      <c r="A1049" s="84"/>
      <c r="B1049" s="84"/>
      <c r="C1049" s="84"/>
      <c r="D1049" s="84"/>
      <c r="E1049" s="84"/>
      <c r="F1049" s="84"/>
      <c r="G1049" s="84"/>
      <c r="H1049" s="84"/>
      <c r="I1049" s="84"/>
      <c r="J1049" s="84"/>
      <c r="K1049" s="84"/>
      <c r="L1049" s="84"/>
      <c r="M1049" s="84"/>
      <c r="N1049" s="84"/>
      <c r="O1049" s="84"/>
      <c r="P1049" s="84"/>
      <c r="Q1049" s="84"/>
      <c r="R1049" s="84"/>
      <c r="S1049" s="84"/>
      <c r="T1049" s="84"/>
      <c r="U1049" s="84"/>
      <c r="V1049" s="84"/>
      <c r="W1049" s="84"/>
      <c r="X1049" s="84"/>
      <c r="Y1049" s="84"/>
      <c r="Z1049" s="84"/>
      <c r="AA1049" s="84"/>
      <c r="AB1049" s="84"/>
    </row>
    <row r="1050">
      <c r="A1050" s="84"/>
      <c r="B1050" s="84"/>
      <c r="C1050" s="84"/>
      <c r="D1050" s="84"/>
      <c r="E1050" s="84"/>
      <c r="F1050" s="84"/>
      <c r="G1050" s="84"/>
      <c r="H1050" s="84"/>
      <c r="I1050" s="84"/>
      <c r="J1050" s="84"/>
      <c r="K1050" s="84"/>
      <c r="L1050" s="84"/>
      <c r="M1050" s="84"/>
      <c r="N1050" s="84"/>
      <c r="O1050" s="84"/>
      <c r="P1050" s="84"/>
      <c r="Q1050" s="84"/>
      <c r="R1050" s="84"/>
      <c r="S1050" s="84"/>
      <c r="T1050" s="84"/>
      <c r="U1050" s="84"/>
      <c r="V1050" s="84"/>
      <c r="W1050" s="84"/>
      <c r="X1050" s="84"/>
      <c r="Y1050" s="84"/>
      <c r="Z1050" s="84"/>
      <c r="AA1050" s="84"/>
      <c r="AB1050" s="84"/>
    </row>
    <row r="1051">
      <c r="A1051" s="84"/>
      <c r="B1051" s="84"/>
      <c r="C1051" s="84"/>
      <c r="D1051" s="84"/>
      <c r="E1051" s="84"/>
      <c r="F1051" s="84"/>
      <c r="G1051" s="84"/>
      <c r="H1051" s="84"/>
      <c r="I1051" s="84"/>
      <c r="J1051" s="84"/>
      <c r="K1051" s="84"/>
      <c r="L1051" s="84"/>
      <c r="M1051" s="84"/>
      <c r="N1051" s="84"/>
      <c r="O1051" s="84"/>
      <c r="P1051" s="84"/>
      <c r="Q1051" s="84"/>
      <c r="R1051" s="84"/>
      <c r="S1051" s="84"/>
      <c r="T1051" s="84"/>
      <c r="U1051" s="84"/>
      <c r="V1051" s="84"/>
      <c r="W1051" s="84"/>
      <c r="X1051" s="84"/>
      <c r="Y1051" s="84"/>
      <c r="Z1051" s="84"/>
      <c r="AA1051" s="84"/>
      <c r="AB1051" s="84"/>
    </row>
    <row r="1052">
      <c r="A1052" s="84"/>
      <c r="B1052" s="84"/>
      <c r="C1052" s="84"/>
      <c r="D1052" s="84"/>
      <c r="E1052" s="84"/>
      <c r="F1052" s="84"/>
      <c r="G1052" s="84"/>
      <c r="H1052" s="84"/>
      <c r="I1052" s="84"/>
      <c r="J1052" s="84"/>
      <c r="K1052" s="84"/>
      <c r="L1052" s="84"/>
      <c r="M1052" s="84"/>
      <c r="N1052" s="84"/>
      <c r="O1052" s="84"/>
      <c r="P1052" s="84"/>
      <c r="Q1052" s="84"/>
      <c r="R1052" s="84"/>
      <c r="S1052" s="84"/>
      <c r="T1052" s="84"/>
      <c r="U1052" s="84"/>
      <c r="V1052" s="84"/>
      <c r="W1052" s="84"/>
      <c r="X1052" s="84"/>
      <c r="Y1052" s="84"/>
      <c r="Z1052" s="84"/>
      <c r="AA1052" s="84"/>
      <c r="AB1052" s="84"/>
    </row>
    <row r="1053">
      <c r="A1053" s="84"/>
      <c r="B1053" s="84"/>
      <c r="C1053" s="84"/>
      <c r="D1053" s="84"/>
      <c r="E1053" s="84"/>
      <c r="F1053" s="84"/>
      <c r="G1053" s="84"/>
      <c r="H1053" s="84"/>
      <c r="I1053" s="84"/>
      <c r="J1053" s="84"/>
      <c r="K1053" s="84"/>
      <c r="L1053" s="84"/>
      <c r="M1053" s="84"/>
      <c r="N1053" s="84"/>
      <c r="O1053" s="84"/>
      <c r="P1053" s="84"/>
      <c r="Q1053" s="84"/>
      <c r="R1053" s="84"/>
      <c r="S1053" s="84"/>
      <c r="T1053" s="84"/>
      <c r="U1053" s="84"/>
      <c r="V1053" s="84"/>
      <c r="W1053" s="84"/>
      <c r="X1053" s="84"/>
      <c r="Y1053" s="84"/>
      <c r="Z1053" s="84"/>
      <c r="AA1053" s="84"/>
      <c r="AB1053" s="84"/>
    </row>
    <row r="1054">
      <c r="A1054" s="84"/>
      <c r="B1054" s="84"/>
      <c r="C1054" s="84"/>
      <c r="D1054" s="84"/>
      <c r="E1054" s="84"/>
      <c r="F1054" s="84"/>
      <c r="G1054" s="84"/>
      <c r="H1054" s="84"/>
      <c r="I1054" s="84"/>
      <c r="J1054" s="84"/>
      <c r="K1054" s="84"/>
      <c r="L1054" s="84"/>
      <c r="M1054" s="84"/>
      <c r="N1054" s="84"/>
      <c r="O1054" s="84"/>
      <c r="P1054" s="84"/>
      <c r="Q1054" s="84"/>
      <c r="R1054" s="84"/>
      <c r="S1054" s="84"/>
      <c r="T1054" s="84"/>
      <c r="U1054" s="84"/>
      <c r="V1054" s="84"/>
      <c r="W1054" s="84"/>
      <c r="X1054" s="84"/>
      <c r="Y1054" s="84"/>
      <c r="Z1054" s="84"/>
      <c r="AA1054" s="84"/>
      <c r="AB1054" s="84"/>
    </row>
    <row r="1055">
      <c r="A1055" s="84"/>
      <c r="B1055" s="84"/>
      <c r="C1055" s="84"/>
      <c r="D1055" s="84"/>
      <c r="E1055" s="84"/>
      <c r="F1055" s="84"/>
      <c r="G1055" s="84"/>
      <c r="H1055" s="84"/>
      <c r="I1055" s="84"/>
      <c r="J1055" s="84"/>
      <c r="K1055" s="84"/>
      <c r="L1055" s="84"/>
      <c r="M1055" s="84"/>
      <c r="N1055" s="84"/>
      <c r="O1055" s="84"/>
      <c r="P1055" s="84"/>
      <c r="Q1055" s="84"/>
      <c r="R1055" s="84"/>
      <c r="S1055" s="84"/>
      <c r="T1055" s="84"/>
      <c r="U1055" s="84"/>
      <c r="V1055" s="84"/>
      <c r="W1055" s="84"/>
      <c r="X1055" s="84"/>
      <c r="Y1055" s="84"/>
      <c r="Z1055" s="84"/>
      <c r="AA1055" s="84"/>
      <c r="AB1055" s="84"/>
    </row>
    <row r="1056">
      <c r="A1056" s="84"/>
      <c r="B1056" s="84"/>
      <c r="C1056" s="84"/>
      <c r="D1056" s="84"/>
      <c r="E1056" s="84"/>
      <c r="F1056" s="84"/>
      <c r="G1056" s="84"/>
      <c r="H1056" s="84"/>
      <c r="I1056" s="84"/>
      <c r="J1056" s="84"/>
      <c r="K1056" s="84"/>
      <c r="L1056" s="84"/>
      <c r="M1056" s="84"/>
      <c r="N1056" s="84"/>
      <c r="O1056" s="84"/>
      <c r="P1056" s="84"/>
      <c r="Q1056" s="84"/>
      <c r="R1056" s="84"/>
      <c r="S1056" s="84"/>
      <c r="T1056" s="84"/>
      <c r="U1056" s="84"/>
      <c r="V1056" s="84"/>
      <c r="W1056" s="84"/>
      <c r="X1056" s="84"/>
      <c r="Y1056" s="84"/>
      <c r="Z1056" s="84"/>
      <c r="AA1056" s="84"/>
      <c r="AB1056" s="84"/>
    </row>
    <row r="1057">
      <c r="A1057" s="84"/>
      <c r="B1057" s="84"/>
      <c r="C1057" s="84"/>
      <c r="D1057" s="84"/>
      <c r="E1057" s="84"/>
      <c r="F1057" s="84"/>
      <c r="G1057" s="84"/>
      <c r="H1057" s="84"/>
      <c r="I1057" s="84"/>
      <c r="J1057" s="84"/>
      <c r="K1057" s="84"/>
      <c r="L1057" s="84"/>
      <c r="M1057" s="84"/>
      <c r="N1057" s="84"/>
      <c r="O1057" s="84"/>
      <c r="P1057" s="84"/>
      <c r="Q1057" s="84"/>
      <c r="R1057" s="84"/>
      <c r="S1057" s="84"/>
      <c r="T1057" s="84"/>
      <c r="U1057" s="84"/>
      <c r="V1057" s="84"/>
      <c r="W1057" s="84"/>
      <c r="X1057" s="84"/>
      <c r="Y1057" s="84"/>
      <c r="Z1057" s="84"/>
      <c r="AA1057" s="84"/>
      <c r="AB1057" s="84"/>
    </row>
    <row r="1058">
      <c r="A1058" s="84"/>
      <c r="B1058" s="84"/>
      <c r="C1058" s="84"/>
      <c r="D1058" s="84"/>
      <c r="E1058" s="84"/>
      <c r="F1058" s="84"/>
      <c r="G1058" s="84"/>
      <c r="H1058" s="84"/>
      <c r="I1058" s="84"/>
      <c r="J1058" s="84"/>
      <c r="K1058" s="84"/>
      <c r="L1058" s="84"/>
      <c r="M1058" s="84"/>
      <c r="N1058" s="84"/>
      <c r="O1058" s="84"/>
      <c r="P1058" s="84"/>
      <c r="Q1058" s="84"/>
      <c r="R1058" s="84"/>
      <c r="S1058" s="84"/>
      <c r="T1058" s="84"/>
      <c r="U1058" s="84"/>
      <c r="V1058" s="84"/>
      <c r="W1058" s="84"/>
      <c r="X1058" s="84"/>
      <c r="Y1058" s="84"/>
      <c r="Z1058" s="84"/>
      <c r="AA1058" s="84"/>
      <c r="AB1058" s="84"/>
    </row>
    <row r="1059">
      <c r="A1059" s="84"/>
      <c r="B1059" s="84"/>
      <c r="C1059" s="84"/>
      <c r="D1059" s="84"/>
      <c r="E1059" s="84"/>
      <c r="F1059" s="84"/>
      <c r="G1059" s="84"/>
      <c r="H1059" s="84"/>
      <c r="I1059" s="84"/>
      <c r="J1059" s="84"/>
      <c r="K1059" s="84"/>
      <c r="L1059" s="84"/>
      <c r="M1059" s="84"/>
      <c r="N1059" s="84"/>
      <c r="O1059" s="84"/>
      <c r="P1059" s="84"/>
      <c r="Q1059" s="84"/>
      <c r="R1059" s="84"/>
      <c r="S1059" s="84"/>
      <c r="T1059" s="84"/>
      <c r="U1059" s="84"/>
      <c r="V1059" s="84"/>
      <c r="W1059" s="84"/>
      <c r="X1059" s="84"/>
      <c r="Y1059" s="84"/>
      <c r="Z1059" s="84"/>
      <c r="AA1059" s="84"/>
      <c r="AB1059" s="84"/>
    </row>
    <row r="1060">
      <c r="A1060" s="84"/>
      <c r="B1060" s="84"/>
      <c r="C1060" s="84"/>
      <c r="D1060" s="84"/>
      <c r="E1060" s="84"/>
      <c r="F1060" s="84"/>
      <c r="G1060" s="84"/>
      <c r="H1060" s="84"/>
      <c r="I1060" s="84"/>
      <c r="J1060" s="84"/>
      <c r="K1060" s="84"/>
      <c r="L1060" s="84"/>
      <c r="M1060" s="84"/>
      <c r="N1060" s="84"/>
      <c r="O1060" s="84"/>
      <c r="P1060" s="84"/>
      <c r="Q1060" s="84"/>
      <c r="R1060" s="84"/>
      <c r="S1060" s="84"/>
      <c r="T1060" s="84"/>
      <c r="U1060" s="84"/>
      <c r="V1060" s="84"/>
      <c r="W1060" s="84"/>
      <c r="X1060" s="84"/>
      <c r="Y1060" s="84"/>
      <c r="Z1060" s="84"/>
      <c r="AA1060" s="84"/>
      <c r="AB1060" s="84"/>
    </row>
    <row r="1061">
      <c r="A1061" s="84"/>
      <c r="B1061" s="84"/>
      <c r="C1061" s="84"/>
      <c r="D1061" s="84"/>
      <c r="E1061" s="84"/>
      <c r="F1061" s="84"/>
      <c r="G1061" s="84"/>
      <c r="H1061" s="84"/>
      <c r="I1061" s="84"/>
      <c r="J1061" s="84"/>
      <c r="K1061" s="84"/>
      <c r="L1061" s="84"/>
      <c r="M1061" s="84"/>
      <c r="N1061" s="84"/>
      <c r="O1061" s="84"/>
      <c r="P1061" s="84"/>
      <c r="Q1061" s="84"/>
      <c r="R1061" s="84"/>
      <c r="S1061" s="84"/>
      <c r="T1061" s="84"/>
      <c r="U1061" s="84"/>
      <c r="V1061" s="84"/>
      <c r="W1061" s="84"/>
      <c r="X1061" s="84"/>
      <c r="Y1061" s="84"/>
      <c r="Z1061" s="84"/>
      <c r="AA1061" s="84"/>
      <c r="AB1061" s="84"/>
    </row>
    <row r="1062">
      <c r="A1062" s="84"/>
      <c r="B1062" s="84"/>
      <c r="C1062" s="84"/>
      <c r="D1062" s="84"/>
      <c r="E1062" s="84"/>
      <c r="F1062" s="84"/>
      <c r="G1062" s="84"/>
      <c r="H1062" s="84"/>
      <c r="I1062" s="84"/>
      <c r="J1062" s="84"/>
      <c r="K1062" s="84"/>
      <c r="L1062" s="84"/>
      <c r="M1062" s="84"/>
      <c r="N1062" s="84"/>
      <c r="O1062" s="84"/>
      <c r="P1062" s="84"/>
      <c r="Q1062" s="84"/>
      <c r="R1062" s="84"/>
      <c r="S1062" s="84"/>
      <c r="T1062" s="84"/>
      <c r="U1062" s="84"/>
      <c r="V1062" s="84"/>
      <c r="W1062" s="84"/>
      <c r="X1062" s="84"/>
      <c r="Y1062" s="84"/>
      <c r="Z1062" s="84"/>
      <c r="AA1062" s="84"/>
      <c r="AB1062" s="84"/>
    </row>
    <row r="1063">
      <c r="A1063" s="84"/>
      <c r="B1063" s="84"/>
      <c r="C1063" s="84"/>
      <c r="D1063" s="84"/>
      <c r="E1063" s="84"/>
      <c r="F1063" s="84"/>
      <c r="G1063" s="84"/>
      <c r="H1063" s="84"/>
      <c r="I1063" s="84"/>
      <c r="J1063" s="84"/>
      <c r="K1063" s="84"/>
      <c r="L1063" s="84"/>
      <c r="M1063" s="84"/>
      <c r="N1063" s="84"/>
      <c r="O1063" s="84"/>
      <c r="P1063" s="84"/>
      <c r="Q1063" s="84"/>
      <c r="R1063" s="84"/>
      <c r="S1063" s="84"/>
      <c r="T1063" s="84"/>
      <c r="U1063" s="84"/>
      <c r="V1063" s="84"/>
      <c r="W1063" s="84"/>
      <c r="X1063" s="84"/>
      <c r="Y1063" s="84"/>
      <c r="Z1063" s="84"/>
      <c r="AA1063" s="84"/>
      <c r="AB1063" s="84"/>
    </row>
    <row r="1064">
      <c r="A1064" s="84"/>
      <c r="B1064" s="84"/>
      <c r="C1064" s="84"/>
      <c r="D1064" s="84"/>
      <c r="E1064" s="84"/>
      <c r="F1064" s="84"/>
      <c r="G1064" s="84"/>
      <c r="H1064" s="84"/>
      <c r="I1064" s="84"/>
      <c r="J1064" s="84"/>
      <c r="K1064" s="84"/>
      <c r="L1064" s="84"/>
      <c r="M1064" s="84"/>
      <c r="N1064" s="84"/>
      <c r="O1064" s="84"/>
      <c r="P1064" s="84"/>
      <c r="Q1064" s="84"/>
      <c r="R1064" s="84"/>
      <c r="S1064" s="84"/>
      <c r="T1064" s="84"/>
      <c r="U1064" s="84"/>
      <c r="V1064" s="84"/>
      <c r="W1064" s="84"/>
      <c r="X1064" s="84"/>
      <c r="Y1064" s="84"/>
      <c r="Z1064" s="84"/>
      <c r="AA1064" s="84"/>
      <c r="AB1064" s="84"/>
    </row>
    <row r="1065">
      <c r="A1065" s="84"/>
      <c r="B1065" s="84"/>
      <c r="C1065" s="84"/>
      <c r="D1065" s="84"/>
      <c r="E1065" s="84"/>
      <c r="F1065" s="84"/>
      <c r="G1065" s="84"/>
      <c r="H1065" s="84"/>
      <c r="I1065" s="84"/>
      <c r="J1065" s="84"/>
      <c r="K1065" s="84"/>
      <c r="L1065" s="84"/>
      <c r="M1065" s="84"/>
      <c r="N1065" s="84"/>
      <c r="O1065" s="84"/>
      <c r="P1065" s="84"/>
      <c r="Q1065" s="84"/>
      <c r="R1065" s="84"/>
      <c r="S1065" s="84"/>
      <c r="T1065" s="84"/>
      <c r="U1065" s="84"/>
      <c r="V1065" s="84"/>
      <c r="W1065" s="84"/>
      <c r="X1065" s="84"/>
      <c r="Y1065" s="84"/>
      <c r="Z1065" s="84"/>
      <c r="AA1065" s="84"/>
      <c r="AB1065" s="84"/>
    </row>
    <row r="1066">
      <c r="A1066" s="84"/>
      <c r="B1066" s="84"/>
      <c r="C1066" s="84"/>
      <c r="D1066" s="84"/>
      <c r="E1066" s="84"/>
      <c r="F1066" s="84"/>
      <c r="G1066" s="84"/>
      <c r="H1066" s="84"/>
      <c r="I1066" s="84"/>
      <c r="J1066" s="84"/>
      <c r="K1066" s="84"/>
      <c r="L1066" s="84"/>
      <c r="M1066" s="84"/>
      <c r="N1066" s="84"/>
      <c r="O1066" s="84"/>
      <c r="P1066" s="84"/>
      <c r="Q1066" s="84"/>
      <c r="R1066" s="84"/>
      <c r="S1066" s="84"/>
      <c r="T1066" s="84"/>
      <c r="U1066" s="84"/>
      <c r="V1066" s="84"/>
      <c r="W1066" s="84"/>
      <c r="X1066" s="84"/>
      <c r="Y1066" s="84"/>
      <c r="Z1066" s="84"/>
      <c r="AA1066" s="84"/>
      <c r="AB1066" s="84"/>
    </row>
    <row r="1067">
      <c r="A1067" s="84"/>
      <c r="B1067" s="84"/>
      <c r="C1067" s="84"/>
      <c r="D1067" s="84"/>
      <c r="E1067" s="84"/>
      <c r="F1067" s="84"/>
      <c r="G1067" s="84"/>
      <c r="H1067" s="84"/>
      <c r="I1067" s="84"/>
      <c r="J1067" s="84"/>
      <c r="K1067" s="84"/>
      <c r="L1067" s="84"/>
      <c r="M1067" s="84"/>
      <c r="N1067" s="84"/>
      <c r="O1067" s="84"/>
      <c r="P1067" s="84"/>
      <c r="Q1067" s="84"/>
      <c r="R1067" s="84"/>
      <c r="S1067" s="84"/>
      <c r="T1067" s="84"/>
      <c r="U1067" s="84"/>
      <c r="V1067" s="84"/>
      <c r="W1067" s="84"/>
      <c r="X1067" s="84"/>
      <c r="Y1067" s="84"/>
      <c r="Z1067" s="84"/>
      <c r="AA1067" s="84"/>
      <c r="AB1067" s="84"/>
    </row>
    <row r="1068">
      <c r="A1068" s="84"/>
      <c r="B1068" s="84"/>
      <c r="C1068" s="84"/>
      <c r="D1068" s="84"/>
      <c r="E1068" s="84"/>
      <c r="F1068" s="84"/>
      <c r="G1068" s="84"/>
      <c r="H1068" s="84"/>
      <c r="I1068" s="84"/>
      <c r="J1068" s="84"/>
      <c r="K1068" s="84"/>
      <c r="L1068" s="84"/>
      <c r="M1068" s="84"/>
      <c r="N1068" s="84"/>
      <c r="O1068" s="84"/>
      <c r="P1068" s="84"/>
      <c r="Q1068" s="84"/>
      <c r="R1068" s="84"/>
      <c r="S1068" s="84"/>
      <c r="T1068" s="84"/>
      <c r="U1068" s="84"/>
      <c r="V1068" s="84"/>
      <c r="W1068" s="84"/>
      <c r="X1068" s="84"/>
      <c r="Y1068" s="84"/>
      <c r="Z1068" s="84"/>
      <c r="AA1068" s="84"/>
      <c r="AB1068" s="84"/>
    </row>
    <row r="1069">
      <c r="A1069" s="84"/>
      <c r="B1069" s="84"/>
      <c r="C1069" s="84"/>
      <c r="D1069" s="84"/>
      <c r="E1069" s="84"/>
      <c r="F1069" s="84"/>
      <c r="G1069" s="84"/>
      <c r="H1069" s="84"/>
      <c r="I1069" s="84"/>
      <c r="J1069" s="84"/>
      <c r="K1069" s="84"/>
      <c r="L1069" s="84"/>
      <c r="M1069" s="84"/>
      <c r="N1069" s="84"/>
      <c r="O1069" s="84"/>
      <c r="P1069" s="84"/>
      <c r="Q1069" s="84"/>
      <c r="R1069" s="84"/>
      <c r="S1069" s="84"/>
      <c r="T1069" s="84"/>
      <c r="U1069" s="84"/>
      <c r="V1069" s="84"/>
      <c r="W1069" s="84"/>
      <c r="X1069" s="84"/>
      <c r="Y1069" s="84"/>
      <c r="Z1069" s="84"/>
      <c r="AA1069" s="84"/>
      <c r="AB1069" s="84"/>
    </row>
    <row r="1070">
      <c r="A1070" s="84"/>
      <c r="B1070" s="84"/>
      <c r="C1070" s="84"/>
      <c r="D1070" s="84"/>
      <c r="E1070" s="84"/>
      <c r="F1070" s="84"/>
      <c r="G1070" s="84"/>
      <c r="H1070" s="84"/>
      <c r="I1070" s="84"/>
      <c r="J1070" s="84"/>
      <c r="K1070" s="84"/>
      <c r="L1070" s="84"/>
      <c r="M1070" s="84"/>
      <c r="N1070" s="84"/>
      <c r="O1070" s="84"/>
      <c r="P1070" s="84"/>
      <c r="Q1070" s="84"/>
      <c r="R1070" s="84"/>
      <c r="S1070" s="84"/>
      <c r="T1070" s="84"/>
      <c r="U1070" s="84"/>
      <c r="V1070" s="84"/>
      <c r="W1070" s="84"/>
      <c r="X1070" s="84"/>
      <c r="Y1070" s="84"/>
      <c r="Z1070" s="84"/>
      <c r="AA1070" s="84"/>
      <c r="AB1070" s="84"/>
    </row>
    <row r="1071">
      <c r="A1071" s="84"/>
      <c r="B1071" s="84"/>
      <c r="C1071" s="84"/>
      <c r="D1071" s="84"/>
      <c r="E1071" s="84"/>
      <c r="F1071" s="84"/>
      <c r="G1071" s="84"/>
      <c r="H1071" s="84"/>
      <c r="I1071" s="84"/>
      <c r="J1071" s="84"/>
      <c r="K1071" s="84"/>
      <c r="L1071" s="84"/>
      <c r="M1071" s="84"/>
      <c r="N1071" s="84"/>
      <c r="O1071" s="84"/>
      <c r="P1071" s="84"/>
      <c r="Q1071" s="84"/>
      <c r="R1071" s="84"/>
      <c r="S1071" s="84"/>
      <c r="T1071" s="84"/>
      <c r="U1071" s="84"/>
      <c r="V1071" s="84"/>
      <c r="W1071" s="84"/>
      <c r="X1071" s="84"/>
      <c r="Y1071" s="84"/>
      <c r="Z1071" s="84"/>
      <c r="AA1071" s="84"/>
      <c r="AB1071" s="84"/>
    </row>
    <row r="1072">
      <c r="A1072" s="84"/>
      <c r="B1072" s="84"/>
      <c r="C1072" s="84"/>
      <c r="D1072" s="84"/>
      <c r="E1072" s="84"/>
      <c r="F1072" s="84"/>
      <c r="G1072" s="84"/>
      <c r="H1072" s="84"/>
      <c r="I1072" s="84"/>
      <c r="J1072" s="84"/>
      <c r="K1072" s="84"/>
      <c r="L1072" s="84"/>
      <c r="M1072" s="84"/>
      <c r="N1072" s="84"/>
      <c r="O1072" s="84"/>
      <c r="P1072" s="84"/>
      <c r="Q1072" s="84"/>
      <c r="R1072" s="84"/>
      <c r="S1072" s="84"/>
      <c r="T1072" s="84"/>
      <c r="U1072" s="84"/>
      <c r="V1072" s="84"/>
      <c r="W1072" s="84"/>
      <c r="X1072" s="84"/>
      <c r="Y1072" s="84"/>
      <c r="Z1072" s="84"/>
      <c r="AA1072" s="84"/>
      <c r="AB1072" s="84"/>
    </row>
    <row r="1073">
      <c r="A1073" s="84"/>
      <c r="B1073" s="84"/>
      <c r="C1073" s="84"/>
      <c r="D1073" s="84"/>
      <c r="E1073" s="84"/>
      <c r="F1073" s="84"/>
      <c r="G1073" s="84"/>
      <c r="H1073" s="84"/>
      <c r="I1073" s="84"/>
      <c r="J1073" s="84"/>
      <c r="K1073" s="84"/>
      <c r="L1073" s="84"/>
      <c r="M1073" s="84"/>
      <c r="N1073" s="84"/>
      <c r="O1073" s="84"/>
      <c r="P1073" s="84"/>
      <c r="Q1073" s="84"/>
      <c r="R1073" s="84"/>
      <c r="S1073" s="84"/>
      <c r="T1073" s="84"/>
      <c r="U1073" s="84"/>
      <c r="V1073" s="84"/>
      <c r="W1073" s="84"/>
      <c r="X1073" s="84"/>
      <c r="Y1073" s="84"/>
      <c r="Z1073" s="84"/>
      <c r="AA1073" s="84"/>
      <c r="AB1073" s="84"/>
    </row>
    <row r="1074">
      <c r="A1074" s="84"/>
      <c r="B1074" s="84"/>
      <c r="C1074" s="84"/>
      <c r="D1074" s="84"/>
      <c r="E1074" s="84"/>
      <c r="F1074" s="84"/>
      <c r="G1074" s="84"/>
      <c r="H1074" s="84"/>
      <c r="I1074" s="84"/>
      <c r="J1074" s="84"/>
      <c r="K1074" s="84"/>
      <c r="L1074" s="84"/>
      <c r="M1074" s="84"/>
      <c r="N1074" s="84"/>
      <c r="O1074" s="84"/>
      <c r="P1074" s="84"/>
      <c r="Q1074" s="84"/>
      <c r="R1074" s="84"/>
      <c r="S1074" s="84"/>
      <c r="T1074" s="84"/>
      <c r="U1074" s="84"/>
      <c r="V1074" s="84"/>
      <c r="W1074" s="84"/>
      <c r="X1074" s="84"/>
      <c r="Y1074" s="84"/>
      <c r="Z1074" s="84"/>
      <c r="AA1074" s="84"/>
      <c r="AB1074" s="84"/>
    </row>
    <row r="1075">
      <c r="A1075" s="84"/>
      <c r="B1075" s="84"/>
      <c r="C1075" s="84"/>
      <c r="D1075" s="84"/>
      <c r="E1075" s="84"/>
      <c r="F1075" s="84"/>
      <c r="G1075" s="84"/>
      <c r="H1075" s="84"/>
      <c r="I1075" s="84"/>
      <c r="J1075" s="84"/>
      <c r="K1075" s="84"/>
      <c r="L1075" s="84"/>
      <c r="M1075" s="84"/>
      <c r="N1075" s="84"/>
      <c r="O1075" s="84"/>
      <c r="P1075" s="84"/>
      <c r="Q1075" s="84"/>
      <c r="R1075" s="84"/>
      <c r="S1075" s="84"/>
      <c r="T1075" s="84"/>
      <c r="U1075" s="84"/>
      <c r="V1075" s="84"/>
      <c r="W1075" s="84"/>
      <c r="X1075" s="84"/>
      <c r="Y1075" s="84"/>
      <c r="Z1075" s="84"/>
      <c r="AA1075" s="84"/>
      <c r="AB1075" s="84"/>
    </row>
    <row r="1076">
      <c r="A1076" s="84"/>
      <c r="B1076" s="84"/>
      <c r="C1076" s="84"/>
      <c r="D1076" s="84"/>
      <c r="E1076" s="84"/>
      <c r="F1076" s="84"/>
      <c r="G1076" s="84"/>
      <c r="H1076" s="84"/>
      <c r="I1076" s="84"/>
      <c r="J1076" s="84"/>
      <c r="K1076" s="84"/>
      <c r="L1076" s="84"/>
      <c r="M1076" s="84"/>
      <c r="N1076" s="84"/>
      <c r="O1076" s="84"/>
      <c r="P1076" s="84"/>
      <c r="Q1076" s="84"/>
      <c r="R1076" s="84"/>
      <c r="S1076" s="84"/>
      <c r="T1076" s="84"/>
      <c r="U1076" s="84"/>
      <c r="V1076" s="84"/>
      <c r="W1076" s="84"/>
      <c r="X1076" s="84"/>
      <c r="Y1076" s="84"/>
      <c r="Z1076" s="84"/>
      <c r="AA1076" s="84"/>
      <c r="AB1076" s="84"/>
    </row>
    <row r="1077">
      <c r="A1077" s="84"/>
      <c r="B1077" s="84"/>
      <c r="C1077" s="84"/>
      <c r="D1077" s="84"/>
      <c r="E1077" s="84"/>
      <c r="F1077" s="84"/>
      <c r="G1077" s="84"/>
      <c r="H1077" s="84"/>
      <c r="I1077" s="84"/>
      <c r="J1077" s="84"/>
      <c r="K1077" s="84"/>
      <c r="L1077" s="84"/>
      <c r="M1077" s="84"/>
      <c r="N1077" s="84"/>
      <c r="O1077" s="84"/>
      <c r="P1077" s="84"/>
      <c r="Q1077" s="84"/>
      <c r="R1077" s="84"/>
      <c r="S1077" s="84"/>
      <c r="T1077" s="84"/>
      <c r="U1077" s="84"/>
      <c r="V1077" s="84"/>
      <c r="W1077" s="84"/>
      <c r="X1077" s="84"/>
      <c r="Y1077" s="84"/>
      <c r="Z1077" s="84"/>
      <c r="AA1077" s="84"/>
      <c r="AB1077" s="84"/>
    </row>
    <row r="1078">
      <c r="A1078" s="84"/>
      <c r="B1078" s="84"/>
      <c r="C1078" s="84"/>
      <c r="D1078" s="84"/>
      <c r="E1078" s="84"/>
      <c r="F1078" s="84"/>
      <c r="G1078" s="84"/>
      <c r="H1078" s="84"/>
      <c r="I1078" s="84"/>
      <c r="J1078" s="84"/>
      <c r="K1078" s="84"/>
      <c r="L1078" s="84"/>
      <c r="M1078" s="84"/>
      <c r="N1078" s="84"/>
      <c r="O1078" s="84"/>
      <c r="P1078" s="84"/>
      <c r="Q1078" s="84"/>
      <c r="R1078" s="84"/>
      <c r="S1078" s="84"/>
      <c r="T1078" s="84"/>
      <c r="U1078" s="84"/>
      <c r="V1078" s="84"/>
      <c r="W1078" s="84"/>
      <c r="X1078" s="84"/>
      <c r="Y1078" s="84"/>
      <c r="Z1078" s="84"/>
      <c r="AA1078" s="84"/>
      <c r="AB1078" s="84"/>
    </row>
    <row r="1079">
      <c r="A1079" s="84"/>
      <c r="B1079" s="84"/>
      <c r="C1079" s="84"/>
      <c r="D1079" s="84"/>
      <c r="E1079" s="84"/>
      <c r="F1079" s="84"/>
      <c r="G1079" s="84"/>
      <c r="H1079" s="84"/>
      <c r="I1079" s="84"/>
      <c r="J1079" s="84"/>
      <c r="K1079" s="84"/>
      <c r="L1079" s="84"/>
      <c r="M1079" s="84"/>
      <c r="N1079" s="84"/>
      <c r="O1079" s="84"/>
      <c r="P1079" s="84"/>
      <c r="Q1079" s="84"/>
      <c r="R1079" s="84"/>
      <c r="S1079" s="84"/>
      <c r="T1079" s="84"/>
      <c r="U1079" s="84"/>
      <c r="V1079" s="84"/>
      <c r="W1079" s="84"/>
      <c r="X1079" s="84"/>
      <c r="Y1079" s="84"/>
      <c r="Z1079" s="84"/>
      <c r="AA1079" s="84"/>
      <c r="AB1079" s="84"/>
    </row>
    <row r="1080">
      <c r="A1080" s="84"/>
      <c r="B1080" s="84"/>
      <c r="C1080" s="84"/>
      <c r="D1080" s="84"/>
      <c r="E1080" s="84"/>
      <c r="F1080" s="84"/>
      <c r="G1080" s="84"/>
      <c r="H1080" s="84"/>
      <c r="I1080" s="84"/>
      <c r="J1080" s="84"/>
      <c r="K1080" s="84"/>
      <c r="L1080" s="84"/>
      <c r="M1080" s="84"/>
      <c r="N1080" s="84"/>
      <c r="O1080" s="84"/>
      <c r="P1080" s="84"/>
      <c r="Q1080" s="84"/>
      <c r="R1080" s="84"/>
      <c r="S1080" s="84"/>
      <c r="T1080" s="84"/>
      <c r="U1080" s="84"/>
      <c r="V1080" s="84"/>
      <c r="W1080" s="84"/>
      <c r="X1080" s="84"/>
      <c r="Y1080" s="84"/>
      <c r="Z1080" s="84"/>
      <c r="AA1080" s="84"/>
      <c r="AB1080" s="84"/>
    </row>
    <row r="1081">
      <c r="A1081" s="84"/>
      <c r="B1081" s="84"/>
      <c r="C1081" s="84"/>
      <c r="D1081" s="84"/>
      <c r="E1081" s="84"/>
      <c r="F1081" s="84"/>
      <c r="G1081" s="84"/>
      <c r="H1081" s="84"/>
      <c r="I1081" s="84"/>
      <c r="J1081" s="84"/>
      <c r="K1081" s="84"/>
      <c r="L1081" s="84"/>
      <c r="M1081" s="84"/>
      <c r="N1081" s="84"/>
      <c r="O1081" s="84"/>
      <c r="P1081" s="84"/>
      <c r="Q1081" s="84"/>
      <c r="R1081" s="84"/>
      <c r="S1081" s="84"/>
      <c r="T1081" s="84"/>
      <c r="U1081" s="84"/>
      <c r="V1081" s="84"/>
      <c r="W1081" s="84"/>
      <c r="X1081" s="84"/>
      <c r="Y1081" s="84"/>
      <c r="Z1081" s="84"/>
      <c r="AA1081" s="84"/>
      <c r="AB1081" s="84"/>
    </row>
    <row r="1082">
      <c r="A1082" s="84"/>
      <c r="B1082" s="84"/>
      <c r="C1082" s="84"/>
      <c r="D1082" s="84"/>
      <c r="E1082" s="84"/>
      <c r="F1082" s="84"/>
      <c r="G1082" s="84"/>
      <c r="H1082" s="84"/>
      <c r="I1082" s="84"/>
      <c r="J1082" s="84"/>
      <c r="K1082" s="84"/>
      <c r="L1082" s="84"/>
      <c r="M1082" s="84"/>
      <c r="N1082" s="84"/>
      <c r="O1082" s="84"/>
      <c r="P1082" s="84"/>
      <c r="Q1082" s="84"/>
      <c r="R1082" s="84"/>
      <c r="S1082" s="84"/>
      <c r="T1082" s="84"/>
      <c r="U1082" s="84"/>
      <c r="V1082" s="84"/>
      <c r="W1082" s="84"/>
      <c r="X1082" s="84"/>
      <c r="Y1082" s="84"/>
      <c r="Z1082" s="84"/>
      <c r="AA1082" s="84"/>
      <c r="AB1082" s="84"/>
    </row>
    <row r="1083">
      <c r="A1083" s="84"/>
      <c r="B1083" s="84"/>
      <c r="C1083" s="84"/>
      <c r="D1083" s="84"/>
      <c r="E1083" s="84"/>
      <c r="F1083" s="84"/>
      <c r="G1083" s="84"/>
      <c r="H1083" s="84"/>
      <c r="I1083" s="84"/>
      <c r="J1083" s="84"/>
      <c r="K1083" s="84"/>
      <c r="L1083" s="84"/>
      <c r="M1083" s="84"/>
      <c r="N1083" s="84"/>
      <c r="O1083" s="84"/>
      <c r="P1083" s="84"/>
      <c r="Q1083" s="84"/>
      <c r="R1083" s="84"/>
      <c r="S1083" s="84"/>
      <c r="T1083" s="84"/>
      <c r="U1083" s="84"/>
      <c r="V1083" s="84"/>
      <c r="W1083" s="84"/>
      <c r="X1083" s="84"/>
      <c r="Y1083" s="84"/>
      <c r="Z1083" s="84"/>
      <c r="AA1083" s="84"/>
      <c r="AB1083" s="84"/>
    </row>
    <row r="1084">
      <c r="A1084" s="84"/>
      <c r="B1084" s="84"/>
      <c r="C1084" s="84"/>
      <c r="D1084" s="84"/>
      <c r="E1084" s="84"/>
      <c r="F1084" s="84"/>
      <c r="G1084" s="84"/>
      <c r="H1084" s="84"/>
      <c r="I1084" s="84"/>
      <c r="J1084" s="84"/>
      <c r="K1084" s="84"/>
      <c r="L1084" s="84"/>
      <c r="M1084" s="84"/>
      <c r="N1084" s="84"/>
      <c r="O1084" s="84"/>
      <c r="P1084" s="84"/>
      <c r="Q1084" s="84"/>
      <c r="R1084" s="84"/>
      <c r="S1084" s="84"/>
      <c r="T1084" s="84"/>
      <c r="U1084" s="84"/>
      <c r="V1084" s="84"/>
      <c r="W1084" s="84"/>
      <c r="X1084" s="84"/>
      <c r="Y1084" s="84"/>
      <c r="Z1084" s="84"/>
      <c r="AA1084" s="84"/>
      <c r="AB1084" s="84"/>
    </row>
    <row r="1085">
      <c r="A1085" s="84"/>
      <c r="B1085" s="84"/>
      <c r="C1085" s="84"/>
      <c r="D1085" s="84"/>
      <c r="E1085" s="84"/>
      <c r="F1085" s="84"/>
      <c r="G1085" s="84"/>
      <c r="H1085" s="84"/>
      <c r="I1085" s="84"/>
      <c r="J1085" s="84"/>
      <c r="K1085" s="84"/>
      <c r="L1085" s="84"/>
      <c r="M1085" s="84"/>
      <c r="N1085" s="84"/>
      <c r="O1085" s="84"/>
      <c r="P1085" s="84"/>
      <c r="Q1085" s="84"/>
      <c r="R1085" s="84"/>
      <c r="S1085" s="84"/>
      <c r="T1085" s="84"/>
      <c r="U1085" s="84"/>
      <c r="V1085" s="84"/>
      <c r="W1085" s="84"/>
      <c r="X1085" s="84"/>
      <c r="Y1085" s="84"/>
      <c r="Z1085" s="84"/>
      <c r="AA1085" s="84"/>
      <c r="AB1085" s="84"/>
    </row>
    <row r="1086">
      <c r="A1086" s="84"/>
      <c r="B1086" s="84"/>
      <c r="C1086" s="84"/>
      <c r="D1086" s="84"/>
      <c r="E1086" s="84"/>
      <c r="F1086" s="84"/>
      <c r="G1086" s="84"/>
      <c r="H1086" s="84"/>
      <c r="I1086" s="84"/>
      <c r="J1086" s="84"/>
      <c r="K1086" s="84"/>
      <c r="L1086" s="84"/>
      <c r="M1086" s="84"/>
      <c r="N1086" s="84"/>
      <c r="O1086" s="84"/>
      <c r="P1086" s="84"/>
      <c r="Q1086" s="84"/>
      <c r="R1086" s="84"/>
      <c r="S1086" s="84"/>
      <c r="T1086" s="84"/>
      <c r="U1086" s="84"/>
      <c r="V1086" s="84"/>
      <c r="W1086" s="84"/>
      <c r="X1086" s="84"/>
      <c r="Y1086" s="84"/>
      <c r="Z1086" s="84"/>
      <c r="AA1086" s="84"/>
      <c r="AB1086" s="84"/>
    </row>
    <row r="1087">
      <c r="A1087" s="84"/>
      <c r="B1087" s="84"/>
      <c r="C1087" s="84"/>
      <c r="D1087" s="84"/>
      <c r="E1087" s="84"/>
      <c r="F1087" s="84"/>
      <c r="G1087" s="84"/>
      <c r="H1087" s="84"/>
      <c r="I1087" s="84"/>
      <c r="J1087" s="84"/>
      <c r="K1087" s="84"/>
      <c r="L1087" s="84"/>
      <c r="M1087" s="84"/>
      <c r="N1087" s="84"/>
      <c r="O1087" s="84"/>
      <c r="P1087" s="84"/>
      <c r="Q1087" s="84"/>
      <c r="R1087" s="84"/>
      <c r="S1087" s="84"/>
      <c r="T1087" s="84"/>
      <c r="U1087" s="84"/>
      <c r="V1087" s="84"/>
      <c r="W1087" s="84"/>
      <c r="X1087" s="84"/>
      <c r="Y1087" s="84"/>
      <c r="Z1087" s="84"/>
      <c r="AA1087" s="84"/>
      <c r="AB1087" s="84"/>
    </row>
    <row r="1088">
      <c r="A1088" s="84"/>
      <c r="B1088" s="84"/>
      <c r="C1088" s="84"/>
      <c r="D1088" s="84"/>
      <c r="E1088" s="84"/>
      <c r="F1088" s="84"/>
      <c r="G1088" s="84"/>
      <c r="H1088" s="84"/>
      <c r="I1088" s="84"/>
      <c r="J1088" s="84"/>
      <c r="K1088" s="84"/>
      <c r="L1088" s="84"/>
      <c r="M1088" s="84"/>
      <c r="N1088" s="84"/>
      <c r="O1088" s="84"/>
      <c r="P1088" s="84"/>
      <c r="Q1088" s="84"/>
      <c r="R1088" s="84"/>
      <c r="S1088" s="84"/>
      <c r="T1088" s="84"/>
      <c r="U1088" s="84"/>
      <c r="V1088" s="84"/>
      <c r="W1088" s="84"/>
      <c r="X1088" s="84"/>
      <c r="Y1088" s="84"/>
      <c r="Z1088" s="84"/>
      <c r="AA1088" s="84"/>
      <c r="AB1088" s="84"/>
    </row>
    <row r="1089">
      <c r="A1089" s="84"/>
      <c r="B1089" s="84"/>
      <c r="C1089" s="84"/>
      <c r="D1089" s="84"/>
      <c r="E1089" s="84"/>
      <c r="F1089" s="84"/>
      <c r="G1089" s="84"/>
      <c r="H1089" s="84"/>
      <c r="I1089" s="84"/>
      <c r="J1089" s="84"/>
      <c r="K1089" s="84"/>
      <c r="L1089" s="84"/>
      <c r="M1089" s="84"/>
      <c r="N1089" s="84"/>
      <c r="O1089" s="84"/>
      <c r="P1089" s="84"/>
      <c r="Q1089" s="84"/>
      <c r="R1089" s="84"/>
      <c r="S1089" s="84"/>
      <c r="T1089" s="84"/>
      <c r="U1089" s="84"/>
      <c r="V1089" s="84"/>
      <c r="W1089" s="84"/>
      <c r="X1089" s="84"/>
      <c r="Y1089" s="84"/>
      <c r="Z1089" s="84"/>
      <c r="AA1089" s="84"/>
      <c r="AB1089" s="84"/>
    </row>
    <row r="1090">
      <c r="A1090" s="84"/>
      <c r="B1090" s="84"/>
      <c r="C1090" s="84"/>
      <c r="D1090" s="84"/>
      <c r="E1090" s="84"/>
      <c r="F1090" s="84"/>
      <c r="G1090" s="84"/>
      <c r="H1090" s="84"/>
      <c r="I1090" s="84"/>
      <c r="J1090" s="84"/>
      <c r="K1090" s="84"/>
      <c r="L1090" s="84"/>
      <c r="M1090" s="84"/>
      <c r="N1090" s="84"/>
      <c r="O1090" s="84"/>
      <c r="P1090" s="84"/>
      <c r="Q1090" s="84"/>
      <c r="R1090" s="84"/>
      <c r="S1090" s="84"/>
      <c r="T1090" s="84"/>
      <c r="U1090" s="84"/>
      <c r="V1090" s="84"/>
      <c r="W1090" s="84"/>
      <c r="X1090" s="84"/>
      <c r="Y1090" s="84"/>
      <c r="Z1090" s="84"/>
      <c r="AA1090" s="84"/>
      <c r="AB1090" s="84"/>
    </row>
  </sheetData>
  <mergeCells count="1">
    <mergeCell ref="I2:I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9.71"/>
    <col customWidth="1" min="2" max="2" width="7.71"/>
    <col customWidth="1" min="3" max="3" width="18.29"/>
    <col customWidth="1" min="4" max="5" width="9.57"/>
    <col customWidth="1" min="6" max="6" width="7.71"/>
    <col customWidth="1" min="7" max="7" width="7.29"/>
    <col customWidth="1" min="8" max="8" width="9.14"/>
    <col customWidth="1" min="9" max="9" width="11.14"/>
    <col customWidth="1" min="10" max="10" width="11.29"/>
    <col customWidth="1" min="11" max="11" width="11.86"/>
    <col customWidth="1" min="12" max="12" width="9.57"/>
    <col customWidth="1" min="13" max="13" width="12.29"/>
    <col customWidth="1" min="14" max="14" width="7.86"/>
    <col customWidth="1" min="15" max="15" width="8.29"/>
    <col customWidth="1" min="16" max="16" width="7.43"/>
    <col customWidth="1" min="17" max="17" width="10.43"/>
    <col customWidth="1" min="18" max="18" width="11.57"/>
    <col customWidth="1" min="19" max="19" width="7.43"/>
    <col customWidth="1" min="20" max="20" width="13.29"/>
    <col customWidth="1" min="21" max="21" width="9.57"/>
    <col customWidth="1" min="22" max="22" width="9.86"/>
    <col customWidth="1" min="23" max="23" width="8.57"/>
    <col customWidth="1" min="24" max="24" width="6.0"/>
    <col customWidth="1" min="25" max="25" width="22.86"/>
    <col customWidth="1" min="26" max="26" width="23.71"/>
    <col customWidth="1" min="27" max="27" width="12.43"/>
    <col customWidth="1" min="28" max="28" width="10.0"/>
  </cols>
  <sheetData>
    <row r="1">
      <c r="A1" s="107" t="s">
        <v>249</v>
      </c>
      <c r="B1" s="107" t="s">
        <v>250</v>
      </c>
      <c r="C1" s="107" t="s">
        <v>251</v>
      </c>
      <c r="D1" s="107" t="s">
        <v>252</v>
      </c>
      <c r="E1" s="107" t="s">
        <v>253</v>
      </c>
      <c r="F1" s="107" t="s">
        <v>254</v>
      </c>
      <c r="H1" s="107" t="s">
        <v>255</v>
      </c>
      <c r="I1" s="107" t="s">
        <v>256</v>
      </c>
      <c r="K1" s="107" t="s">
        <v>257</v>
      </c>
      <c r="L1" s="107"/>
      <c r="M1" s="107"/>
      <c r="N1" s="107" t="s">
        <v>258</v>
      </c>
      <c r="V1" s="107" t="s">
        <v>259</v>
      </c>
      <c r="W1" s="107" t="s">
        <v>260</v>
      </c>
      <c r="X1" s="107" t="s">
        <v>261</v>
      </c>
      <c r="Y1" s="108" t="s">
        <v>8</v>
      </c>
      <c r="Z1" s="108" t="s">
        <v>262</v>
      </c>
      <c r="AA1" s="108" t="s">
        <v>263</v>
      </c>
      <c r="AB1" s="108" t="s">
        <v>264</v>
      </c>
      <c r="AC1" s="109"/>
      <c r="AD1" s="109"/>
      <c r="AE1" s="109"/>
      <c r="AF1" s="109"/>
      <c r="AG1" s="109"/>
      <c r="AH1" s="109"/>
      <c r="AI1" s="109"/>
      <c r="AJ1" s="109"/>
      <c r="AK1" s="109"/>
    </row>
    <row r="2">
      <c r="F2" s="107" t="s">
        <v>265</v>
      </c>
      <c r="G2" s="107" t="s">
        <v>266</v>
      </c>
      <c r="I2" s="107" t="s">
        <v>267</v>
      </c>
      <c r="J2" s="107" t="s">
        <v>268</v>
      </c>
      <c r="L2" s="107" t="s">
        <v>269</v>
      </c>
      <c r="M2" s="107" t="s">
        <v>270</v>
      </c>
      <c r="N2" s="107" t="s">
        <v>29</v>
      </c>
      <c r="O2" s="107" t="s">
        <v>12</v>
      </c>
      <c r="P2" s="107" t="s">
        <v>271</v>
      </c>
      <c r="Q2" s="107" t="s">
        <v>272</v>
      </c>
      <c r="R2" s="107" t="s">
        <v>273</v>
      </c>
      <c r="S2" s="107" t="s">
        <v>274</v>
      </c>
      <c r="T2" s="107" t="s">
        <v>275</v>
      </c>
      <c r="U2" s="107" t="s">
        <v>276</v>
      </c>
      <c r="AC2" s="109"/>
      <c r="AD2" s="109"/>
      <c r="AE2" s="109"/>
      <c r="AF2" s="109"/>
      <c r="AG2" s="109"/>
      <c r="AH2" s="109"/>
      <c r="AI2" s="109"/>
      <c r="AJ2" s="109"/>
      <c r="AK2" s="109"/>
    </row>
    <row r="3">
      <c r="A3" s="110">
        <v>46100.0</v>
      </c>
      <c r="B3" s="111">
        <v>70.0</v>
      </c>
      <c r="C3" s="111" t="s">
        <v>277</v>
      </c>
      <c r="D3" s="112">
        <f>E3</f>
        <v>7368</v>
      </c>
      <c r="E3" s="112">
        <v>7368.0</v>
      </c>
      <c r="F3" s="113">
        <v>12900.0</v>
      </c>
      <c r="G3" s="113">
        <v>0.0</v>
      </c>
      <c r="H3" s="113">
        <v>1375.0</v>
      </c>
      <c r="I3" s="113">
        <v>1000.0</v>
      </c>
      <c r="J3" s="113">
        <v>0.0</v>
      </c>
      <c r="K3" s="114">
        <f t="shared" ref="K3:K30" si="1">(F3-G3)-H3-(I3-J3)</f>
        <v>10525</v>
      </c>
      <c r="L3" s="113">
        <v>0.0</v>
      </c>
      <c r="M3" s="113">
        <v>0.0</v>
      </c>
      <c r="N3" s="113">
        <v>0.0</v>
      </c>
      <c r="O3" s="113">
        <v>0.0</v>
      </c>
      <c r="P3" s="113">
        <v>0.0</v>
      </c>
      <c r="Q3" s="113">
        <v>0.0</v>
      </c>
      <c r="R3" s="113">
        <v>0.0</v>
      </c>
      <c r="S3" s="113">
        <v>0.0</v>
      </c>
      <c r="T3" s="113">
        <v>0.0</v>
      </c>
      <c r="U3" s="113">
        <f t="shared" ref="U3:U26" si="2">SUM(M3:T3)-L3</f>
        <v>0</v>
      </c>
      <c r="V3" s="113">
        <v>0.0</v>
      </c>
      <c r="W3" s="113">
        <f t="shared" ref="W3:W30" si="3">(ROUND(K3*B3/100, 0))-U3+V3</f>
        <v>7368</v>
      </c>
      <c r="X3" s="113">
        <f t="shared" ref="X3:X30" si="4">E3-W3</f>
        <v>0</v>
      </c>
      <c r="Y3" s="32"/>
      <c r="Z3" s="32" t="s">
        <v>278</v>
      </c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</row>
    <row r="4">
      <c r="A4" s="110">
        <v>46113.0</v>
      </c>
      <c r="B4" s="111">
        <v>30.0</v>
      </c>
      <c r="C4" s="111" t="s">
        <v>277</v>
      </c>
      <c r="D4" s="112">
        <f>SUM(E4:E8)</f>
        <v>49593</v>
      </c>
      <c r="E4" s="112">
        <v>3157.0</v>
      </c>
      <c r="F4" s="115">
        <v>12900.0</v>
      </c>
      <c r="G4" s="115">
        <v>0.0</v>
      </c>
      <c r="H4" s="115">
        <v>1375.0</v>
      </c>
      <c r="I4" s="115">
        <v>1000.0</v>
      </c>
      <c r="J4" s="115">
        <v>0.0</v>
      </c>
      <c r="K4" s="116">
        <f t="shared" si="1"/>
        <v>10525</v>
      </c>
      <c r="L4" s="115">
        <v>0.0</v>
      </c>
      <c r="M4" s="115">
        <v>0.0</v>
      </c>
      <c r="N4" s="115">
        <v>0.0</v>
      </c>
      <c r="O4" s="115">
        <v>0.0</v>
      </c>
      <c r="P4" s="115">
        <v>0.0</v>
      </c>
      <c r="Q4" s="115">
        <v>0.0</v>
      </c>
      <c r="R4" s="115">
        <v>0.0</v>
      </c>
      <c r="S4" s="115">
        <v>0.0</v>
      </c>
      <c r="T4" s="115">
        <v>0.0</v>
      </c>
      <c r="U4" s="115">
        <f t="shared" si="2"/>
        <v>0</v>
      </c>
      <c r="V4" s="115">
        <v>0.0</v>
      </c>
      <c r="W4" s="115">
        <f t="shared" si="3"/>
        <v>3158</v>
      </c>
      <c r="X4" s="115">
        <f t="shared" si="4"/>
        <v>-1</v>
      </c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</row>
    <row r="5">
      <c r="A5" s="110">
        <v>46115.0</v>
      </c>
      <c r="B5" s="111">
        <v>70.0</v>
      </c>
      <c r="C5" s="111" t="s">
        <v>279</v>
      </c>
      <c r="E5" s="112">
        <v>7368.0</v>
      </c>
      <c r="F5" s="113">
        <v>12900.0</v>
      </c>
      <c r="G5" s="113">
        <v>0.0</v>
      </c>
      <c r="H5" s="113">
        <v>1375.0</v>
      </c>
      <c r="I5" s="113">
        <v>1000.0</v>
      </c>
      <c r="J5" s="113">
        <v>0.0</v>
      </c>
      <c r="K5" s="114">
        <f t="shared" si="1"/>
        <v>10525</v>
      </c>
      <c r="L5" s="113">
        <v>0.0</v>
      </c>
      <c r="M5" s="113">
        <v>0.0</v>
      </c>
      <c r="N5" s="113">
        <v>0.0</v>
      </c>
      <c r="O5" s="113">
        <v>0.0</v>
      </c>
      <c r="P5" s="113">
        <v>0.0</v>
      </c>
      <c r="Q5" s="113">
        <v>0.0</v>
      </c>
      <c r="R5" s="113">
        <v>0.0</v>
      </c>
      <c r="S5" s="113">
        <v>0.0</v>
      </c>
      <c r="T5" s="113">
        <v>0.0</v>
      </c>
      <c r="U5" s="113">
        <f t="shared" si="2"/>
        <v>0</v>
      </c>
      <c r="V5" s="113">
        <v>0.0</v>
      </c>
      <c r="W5" s="113">
        <f t="shared" si="3"/>
        <v>7368</v>
      </c>
      <c r="X5" s="113">
        <f t="shared" si="4"/>
        <v>0</v>
      </c>
      <c r="Y5" s="32"/>
      <c r="Z5" s="32" t="s">
        <v>278</v>
      </c>
      <c r="AA5" s="109"/>
      <c r="AB5" s="32" t="s">
        <v>278</v>
      </c>
      <c r="AC5" s="109"/>
      <c r="AD5" s="109"/>
      <c r="AE5" s="109"/>
      <c r="AF5" s="109"/>
      <c r="AG5" s="109"/>
      <c r="AH5" s="109"/>
      <c r="AI5" s="109"/>
      <c r="AJ5" s="109"/>
      <c r="AK5" s="109"/>
    </row>
    <row r="6">
      <c r="A6" s="110">
        <v>46122.0</v>
      </c>
      <c r="B6" s="111">
        <v>70.0</v>
      </c>
      <c r="C6" s="111" t="s">
        <v>280</v>
      </c>
      <c r="E6" s="112">
        <v>14736.0</v>
      </c>
      <c r="F6" s="113">
        <v>25800.0</v>
      </c>
      <c r="G6" s="113">
        <v>0.0</v>
      </c>
      <c r="H6" s="113">
        <v>2750.0</v>
      </c>
      <c r="I6" s="113">
        <v>2000.0</v>
      </c>
      <c r="J6" s="113">
        <v>0.0</v>
      </c>
      <c r="K6" s="114">
        <f t="shared" si="1"/>
        <v>21050</v>
      </c>
      <c r="L6" s="113">
        <v>0.0</v>
      </c>
      <c r="M6" s="113">
        <v>0.0</v>
      </c>
      <c r="N6" s="113">
        <v>0.0</v>
      </c>
      <c r="O6" s="113">
        <v>0.0</v>
      </c>
      <c r="P6" s="113">
        <v>0.0</v>
      </c>
      <c r="Q6" s="113">
        <v>0.0</v>
      </c>
      <c r="R6" s="113">
        <v>0.0</v>
      </c>
      <c r="S6" s="113">
        <v>0.0</v>
      </c>
      <c r="T6" s="113">
        <v>0.0</v>
      </c>
      <c r="U6" s="113">
        <f t="shared" si="2"/>
        <v>0</v>
      </c>
      <c r="V6" s="113">
        <v>0.0</v>
      </c>
      <c r="W6" s="113">
        <f t="shared" si="3"/>
        <v>14735</v>
      </c>
      <c r="X6" s="113">
        <f t="shared" si="4"/>
        <v>1</v>
      </c>
      <c r="Y6" s="32"/>
      <c r="Z6" s="32" t="s">
        <v>281</v>
      </c>
      <c r="AA6" s="109"/>
      <c r="AC6" s="109"/>
      <c r="AD6" s="109"/>
      <c r="AE6" s="109"/>
      <c r="AF6" s="109"/>
      <c r="AG6" s="109"/>
      <c r="AH6" s="109"/>
      <c r="AI6" s="109"/>
      <c r="AJ6" s="109"/>
      <c r="AK6" s="109"/>
    </row>
    <row r="7">
      <c r="A7" s="110">
        <v>46129.0</v>
      </c>
      <c r="B7" s="111">
        <v>70.0</v>
      </c>
      <c r="C7" s="111" t="s">
        <v>282</v>
      </c>
      <c r="E7" s="112">
        <v>14736.0</v>
      </c>
      <c r="F7" s="113">
        <v>25800.0</v>
      </c>
      <c r="G7" s="113">
        <v>0.0</v>
      </c>
      <c r="H7" s="113">
        <v>2750.0</v>
      </c>
      <c r="I7" s="113">
        <v>2000.0</v>
      </c>
      <c r="J7" s="113">
        <v>0.0</v>
      </c>
      <c r="K7" s="114">
        <f t="shared" si="1"/>
        <v>21050</v>
      </c>
      <c r="L7" s="113">
        <v>0.0</v>
      </c>
      <c r="M7" s="113">
        <v>0.0</v>
      </c>
      <c r="N7" s="113">
        <v>0.0</v>
      </c>
      <c r="O7" s="113">
        <v>0.0</v>
      </c>
      <c r="P7" s="113">
        <v>0.0</v>
      </c>
      <c r="Q7" s="113">
        <v>0.0</v>
      </c>
      <c r="R7" s="113">
        <v>0.0</v>
      </c>
      <c r="S7" s="113">
        <v>0.0</v>
      </c>
      <c r="T7" s="113">
        <v>0.0</v>
      </c>
      <c r="U7" s="113">
        <f t="shared" si="2"/>
        <v>0</v>
      </c>
      <c r="V7" s="113">
        <v>0.0</v>
      </c>
      <c r="W7" s="113">
        <f t="shared" si="3"/>
        <v>14735</v>
      </c>
      <c r="X7" s="113">
        <f t="shared" si="4"/>
        <v>1</v>
      </c>
      <c r="Y7" s="32"/>
      <c r="Z7" s="32" t="s">
        <v>281</v>
      </c>
      <c r="AA7" s="109"/>
      <c r="AC7" s="109"/>
      <c r="AD7" s="109"/>
      <c r="AE7" s="109"/>
      <c r="AF7" s="109"/>
      <c r="AG7" s="109"/>
      <c r="AH7" s="109"/>
      <c r="AI7" s="109"/>
      <c r="AJ7" s="109"/>
      <c r="AK7" s="109"/>
    </row>
    <row r="8">
      <c r="A8" s="110">
        <v>46136.0</v>
      </c>
      <c r="B8" s="111">
        <v>70.0</v>
      </c>
      <c r="C8" s="111" t="s">
        <v>283</v>
      </c>
      <c r="E8" s="112">
        <v>9596.0</v>
      </c>
      <c r="F8" s="113">
        <v>16500.0</v>
      </c>
      <c r="G8" s="113">
        <v>0.0</v>
      </c>
      <c r="H8" s="113">
        <v>1791.0</v>
      </c>
      <c r="I8" s="113">
        <v>1000.0</v>
      </c>
      <c r="J8" s="113">
        <v>0.0</v>
      </c>
      <c r="K8" s="114">
        <f t="shared" si="1"/>
        <v>13709</v>
      </c>
      <c r="L8" s="113">
        <v>0.0</v>
      </c>
      <c r="M8" s="113">
        <v>0.0</v>
      </c>
      <c r="N8" s="113">
        <v>0.0</v>
      </c>
      <c r="O8" s="113">
        <v>0.0</v>
      </c>
      <c r="P8" s="113">
        <v>0.0</v>
      </c>
      <c r="Q8" s="113">
        <v>0.0</v>
      </c>
      <c r="R8" s="113">
        <v>0.0</v>
      </c>
      <c r="S8" s="113">
        <v>0.0</v>
      </c>
      <c r="T8" s="113">
        <v>0.0</v>
      </c>
      <c r="U8" s="113">
        <f t="shared" si="2"/>
        <v>0</v>
      </c>
      <c r="V8" s="113">
        <v>0.0</v>
      </c>
      <c r="W8" s="113">
        <f t="shared" si="3"/>
        <v>9596</v>
      </c>
      <c r="X8" s="113">
        <f t="shared" si="4"/>
        <v>0</v>
      </c>
      <c r="Y8" s="32"/>
      <c r="Z8" s="32" t="s">
        <v>284</v>
      </c>
      <c r="AA8" s="109"/>
      <c r="AC8" s="109"/>
      <c r="AD8" s="109"/>
      <c r="AE8" s="109"/>
      <c r="AF8" s="109"/>
      <c r="AG8" s="109"/>
      <c r="AH8" s="109"/>
      <c r="AI8" s="109"/>
      <c r="AJ8" s="109"/>
      <c r="AK8" s="109"/>
    </row>
    <row r="9">
      <c r="A9" s="110">
        <v>46146.0</v>
      </c>
      <c r="B9" s="111">
        <v>30.0</v>
      </c>
      <c r="C9" s="111" t="s">
        <v>279</v>
      </c>
      <c r="D9" s="112">
        <f>SUM(E9:E17)</f>
        <v>243377</v>
      </c>
      <c r="E9" s="112">
        <v>3157.0</v>
      </c>
      <c r="F9" s="115">
        <v>12900.0</v>
      </c>
      <c r="G9" s="115">
        <v>0.0</v>
      </c>
      <c r="H9" s="115">
        <v>1375.0</v>
      </c>
      <c r="I9" s="115">
        <v>1000.0</v>
      </c>
      <c r="J9" s="115">
        <v>0.0</v>
      </c>
      <c r="K9" s="116">
        <f t="shared" si="1"/>
        <v>10525</v>
      </c>
      <c r="L9" s="115">
        <v>0.0</v>
      </c>
      <c r="M9" s="115">
        <v>0.0</v>
      </c>
      <c r="N9" s="115">
        <v>0.0</v>
      </c>
      <c r="O9" s="115">
        <v>0.0</v>
      </c>
      <c r="P9" s="115">
        <v>0.0</v>
      </c>
      <c r="Q9" s="115">
        <v>0.0</v>
      </c>
      <c r="R9" s="115">
        <v>0.0</v>
      </c>
      <c r="S9" s="115">
        <v>0.0</v>
      </c>
      <c r="T9" s="115">
        <v>0.0</v>
      </c>
      <c r="U9" s="115">
        <f t="shared" si="2"/>
        <v>0</v>
      </c>
      <c r="V9" s="115">
        <v>0.0</v>
      </c>
      <c r="W9" s="115">
        <f t="shared" si="3"/>
        <v>3158</v>
      </c>
      <c r="X9" s="115">
        <f t="shared" si="4"/>
        <v>-1</v>
      </c>
      <c r="Y9" s="109"/>
      <c r="Z9" s="109"/>
      <c r="AA9" s="109"/>
      <c r="AC9" s="109"/>
      <c r="AD9" s="109"/>
      <c r="AE9" s="109"/>
      <c r="AF9" s="109"/>
      <c r="AG9" s="109"/>
      <c r="AH9" s="109"/>
      <c r="AI9" s="109"/>
      <c r="AJ9" s="109"/>
      <c r="AK9" s="109"/>
    </row>
    <row r="10">
      <c r="A10" s="110">
        <v>46146.0</v>
      </c>
      <c r="B10" s="111">
        <v>30.0</v>
      </c>
      <c r="C10" s="111" t="s">
        <v>280</v>
      </c>
      <c r="E10" s="112">
        <v>6314.0</v>
      </c>
      <c r="F10" s="115">
        <v>25800.0</v>
      </c>
      <c r="G10" s="115">
        <v>0.0</v>
      </c>
      <c r="H10" s="115">
        <v>2750.0</v>
      </c>
      <c r="I10" s="115">
        <v>2000.0</v>
      </c>
      <c r="J10" s="115">
        <v>0.0</v>
      </c>
      <c r="K10" s="116">
        <f t="shared" si="1"/>
        <v>21050</v>
      </c>
      <c r="L10" s="115">
        <v>0.0</v>
      </c>
      <c r="M10" s="115">
        <v>0.0</v>
      </c>
      <c r="N10" s="115">
        <v>0.0</v>
      </c>
      <c r="O10" s="115">
        <v>0.0</v>
      </c>
      <c r="P10" s="115">
        <v>0.0</v>
      </c>
      <c r="Q10" s="115">
        <v>0.0</v>
      </c>
      <c r="R10" s="115">
        <v>0.0</v>
      </c>
      <c r="S10" s="115">
        <v>0.0</v>
      </c>
      <c r="T10" s="115">
        <v>0.0</v>
      </c>
      <c r="U10" s="115">
        <f t="shared" si="2"/>
        <v>0</v>
      </c>
      <c r="V10" s="115">
        <v>0.0</v>
      </c>
      <c r="W10" s="115">
        <f t="shared" si="3"/>
        <v>6315</v>
      </c>
      <c r="X10" s="115">
        <f t="shared" si="4"/>
        <v>-1</v>
      </c>
      <c r="Y10" s="109"/>
      <c r="Z10" s="109"/>
      <c r="AA10" s="109"/>
      <c r="AC10" s="109"/>
      <c r="AD10" s="109"/>
      <c r="AE10" s="109"/>
      <c r="AF10" s="109"/>
      <c r="AG10" s="109"/>
      <c r="AH10" s="109"/>
      <c r="AI10" s="109"/>
      <c r="AJ10" s="109"/>
      <c r="AK10" s="109"/>
    </row>
    <row r="11">
      <c r="A11" s="110">
        <v>46146.0</v>
      </c>
      <c r="B11" s="111">
        <v>30.0</v>
      </c>
      <c r="C11" s="111" t="s">
        <v>282</v>
      </c>
      <c r="E11" s="112">
        <v>6314.0</v>
      </c>
      <c r="F11" s="115">
        <v>25800.0</v>
      </c>
      <c r="G11" s="115">
        <v>0.0</v>
      </c>
      <c r="H11" s="115">
        <v>2750.0</v>
      </c>
      <c r="I11" s="115">
        <v>2000.0</v>
      </c>
      <c r="J11" s="115">
        <v>0.0</v>
      </c>
      <c r="K11" s="116">
        <f t="shared" si="1"/>
        <v>21050</v>
      </c>
      <c r="L11" s="115">
        <v>0.0</v>
      </c>
      <c r="M11" s="115">
        <v>0.0</v>
      </c>
      <c r="N11" s="115">
        <v>0.0</v>
      </c>
      <c r="O11" s="115">
        <v>0.0</v>
      </c>
      <c r="P11" s="115">
        <v>0.0</v>
      </c>
      <c r="Q11" s="115">
        <v>0.0</v>
      </c>
      <c r="R11" s="115">
        <v>0.0</v>
      </c>
      <c r="S11" s="115">
        <v>0.0</v>
      </c>
      <c r="T11" s="115">
        <v>0.0</v>
      </c>
      <c r="U11" s="115">
        <f t="shared" si="2"/>
        <v>0</v>
      </c>
      <c r="V11" s="115">
        <v>0.0</v>
      </c>
      <c r="W11" s="115">
        <f t="shared" si="3"/>
        <v>6315</v>
      </c>
      <c r="X11" s="115">
        <f t="shared" si="4"/>
        <v>-1</v>
      </c>
      <c r="Y11" s="109"/>
      <c r="Z11" s="109"/>
      <c r="AA11" s="109"/>
      <c r="AC11" s="109"/>
      <c r="AD11" s="109"/>
      <c r="AE11" s="109"/>
      <c r="AF11" s="109"/>
      <c r="AG11" s="109"/>
      <c r="AH11" s="109"/>
      <c r="AI11" s="109"/>
      <c r="AJ11" s="109"/>
      <c r="AK11" s="109"/>
    </row>
    <row r="12">
      <c r="A12" s="110">
        <v>46146.0</v>
      </c>
      <c r="B12" s="111">
        <v>30.0</v>
      </c>
      <c r="C12" s="111" t="s">
        <v>283</v>
      </c>
      <c r="E12" s="112">
        <v>4113.0</v>
      </c>
      <c r="F12" s="115">
        <v>16500.0</v>
      </c>
      <c r="G12" s="115">
        <v>0.0</v>
      </c>
      <c r="H12" s="115">
        <v>1791.0</v>
      </c>
      <c r="I12" s="115">
        <v>1000.0</v>
      </c>
      <c r="J12" s="115">
        <v>0.0</v>
      </c>
      <c r="K12" s="116">
        <f t="shared" si="1"/>
        <v>13709</v>
      </c>
      <c r="L12" s="115">
        <v>0.0</v>
      </c>
      <c r="M12" s="115">
        <v>0.0</v>
      </c>
      <c r="N12" s="115">
        <v>0.0</v>
      </c>
      <c r="O12" s="115">
        <v>0.0</v>
      </c>
      <c r="P12" s="115">
        <v>0.0</v>
      </c>
      <c r="Q12" s="115">
        <v>0.0</v>
      </c>
      <c r="R12" s="115">
        <v>0.0</v>
      </c>
      <c r="S12" s="115">
        <v>0.0</v>
      </c>
      <c r="T12" s="115">
        <v>0.0</v>
      </c>
      <c r="U12" s="115">
        <f t="shared" si="2"/>
        <v>0</v>
      </c>
      <c r="V12" s="115">
        <v>0.0</v>
      </c>
      <c r="W12" s="115">
        <f t="shared" si="3"/>
        <v>4113</v>
      </c>
      <c r="X12" s="115">
        <f t="shared" si="4"/>
        <v>0</v>
      </c>
      <c r="Y12" s="109"/>
      <c r="Z12" s="109"/>
      <c r="AA12" s="109"/>
      <c r="AC12" s="109"/>
      <c r="AD12" s="109"/>
      <c r="AE12" s="109"/>
      <c r="AF12" s="109"/>
      <c r="AG12" s="109"/>
      <c r="AH12" s="109"/>
      <c r="AI12" s="109"/>
      <c r="AJ12" s="109"/>
      <c r="AK12" s="109"/>
    </row>
    <row r="13">
      <c r="A13" s="110">
        <v>46146.0</v>
      </c>
      <c r="B13" s="111">
        <v>70.0</v>
      </c>
      <c r="C13" s="111" t="s">
        <v>285</v>
      </c>
      <c r="E13" s="112">
        <v>35911.0</v>
      </c>
      <c r="F13" s="113">
        <v>81000.0</v>
      </c>
      <c r="G13" s="113">
        <v>0.0</v>
      </c>
      <c r="H13" s="113">
        <v>8666.0</v>
      </c>
      <c r="I13" s="113">
        <v>6000.0</v>
      </c>
      <c r="J13" s="113">
        <v>0.0</v>
      </c>
      <c r="K13" s="114">
        <f t="shared" si="1"/>
        <v>66334</v>
      </c>
      <c r="L13" s="113">
        <v>0.0</v>
      </c>
      <c r="M13" s="113">
        <v>10525.0</v>
      </c>
      <c r="N13" s="113">
        <v>0.0</v>
      </c>
      <c r="O13" s="113">
        <v>0.0</v>
      </c>
      <c r="P13" s="113">
        <v>0.0</v>
      </c>
      <c r="Q13" s="113">
        <v>0.0</v>
      </c>
      <c r="R13" s="113">
        <v>0.0</v>
      </c>
      <c r="S13" s="113">
        <v>0.0</v>
      </c>
      <c r="T13" s="113">
        <v>0.0</v>
      </c>
      <c r="U13" s="113">
        <f t="shared" si="2"/>
        <v>10525</v>
      </c>
      <c r="V13" s="113">
        <v>0.0</v>
      </c>
      <c r="W13" s="113">
        <f t="shared" si="3"/>
        <v>35909</v>
      </c>
      <c r="X13" s="113">
        <f t="shared" si="4"/>
        <v>2</v>
      </c>
      <c r="Y13" s="32" t="s">
        <v>286</v>
      </c>
      <c r="Z13" s="32" t="s">
        <v>287</v>
      </c>
      <c r="AA13" s="32"/>
      <c r="AB13" s="32" t="s">
        <v>281</v>
      </c>
      <c r="AC13" s="109"/>
      <c r="AD13" s="109"/>
      <c r="AE13" s="109"/>
      <c r="AF13" s="109"/>
      <c r="AG13" s="109"/>
      <c r="AH13" s="109"/>
      <c r="AI13" s="109"/>
      <c r="AJ13" s="109"/>
      <c r="AK13" s="109"/>
    </row>
    <row r="14">
      <c r="A14" s="110">
        <v>46154.0</v>
      </c>
      <c r="B14" s="111">
        <v>30.0</v>
      </c>
      <c r="C14" s="111" t="s">
        <v>285</v>
      </c>
      <c r="E14" s="112">
        <v>19898.0</v>
      </c>
      <c r="F14" s="115">
        <v>81000.0</v>
      </c>
      <c r="G14" s="115">
        <v>0.0</v>
      </c>
      <c r="H14" s="115">
        <v>8666.0</v>
      </c>
      <c r="I14" s="115">
        <v>6000.0</v>
      </c>
      <c r="J14" s="115">
        <v>0.0</v>
      </c>
      <c r="K14" s="116">
        <f t="shared" si="1"/>
        <v>66334</v>
      </c>
      <c r="L14" s="115">
        <v>0.0</v>
      </c>
      <c r="M14" s="115">
        <v>0.0</v>
      </c>
      <c r="N14" s="115">
        <v>0.0</v>
      </c>
      <c r="O14" s="115">
        <v>0.0</v>
      </c>
      <c r="P14" s="115">
        <v>0.0</v>
      </c>
      <c r="Q14" s="115">
        <v>0.0</v>
      </c>
      <c r="R14" s="115">
        <v>0.0</v>
      </c>
      <c r="S14" s="115">
        <v>0.0</v>
      </c>
      <c r="T14" s="115">
        <v>0.0</v>
      </c>
      <c r="U14" s="115">
        <f t="shared" si="2"/>
        <v>0</v>
      </c>
      <c r="V14" s="115">
        <v>0.0</v>
      </c>
      <c r="W14" s="115">
        <f t="shared" si="3"/>
        <v>19900</v>
      </c>
      <c r="X14" s="115">
        <f t="shared" si="4"/>
        <v>-2</v>
      </c>
      <c r="Y14" s="109"/>
      <c r="Z14" s="109"/>
      <c r="AA14" s="109"/>
      <c r="AC14" s="109"/>
      <c r="AD14" s="109"/>
      <c r="AE14" s="109"/>
      <c r="AF14" s="109"/>
      <c r="AG14" s="109"/>
      <c r="AH14" s="109"/>
      <c r="AI14" s="109"/>
      <c r="AJ14" s="109"/>
      <c r="AK14" s="109"/>
    </row>
    <row r="15">
      <c r="A15" s="110">
        <v>46154.0</v>
      </c>
      <c r="B15" s="111">
        <v>70.0</v>
      </c>
      <c r="C15" s="111" t="s">
        <v>288</v>
      </c>
      <c r="E15" s="112">
        <v>20369.0</v>
      </c>
      <c r="F15" s="113">
        <v>35900.0</v>
      </c>
      <c r="G15" s="113">
        <v>12900.0</v>
      </c>
      <c r="H15" s="113">
        <v>2427.0</v>
      </c>
      <c r="I15" s="113">
        <v>2000.0</v>
      </c>
      <c r="J15" s="113">
        <v>0.0</v>
      </c>
      <c r="K15" s="114">
        <f t="shared" si="1"/>
        <v>18573</v>
      </c>
      <c r="L15" s="113">
        <v>7368.0</v>
      </c>
      <c r="M15" s="113">
        <v>0.0</v>
      </c>
      <c r="N15" s="113">
        <v>0.0</v>
      </c>
      <c r="O15" s="113">
        <v>0.0</v>
      </c>
      <c r="P15" s="113">
        <v>0.0</v>
      </c>
      <c r="Q15" s="113">
        <v>0.0</v>
      </c>
      <c r="R15" s="113">
        <v>0.0</v>
      </c>
      <c r="S15" s="113">
        <v>0.0</v>
      </c>
      <c r="T15" s="113">
        <v>0.0</v>
      </c>
      <c r="U15" s="113">
        <f t="shared" si="2"/>
        <v>-7368</v>
      </c>
      <c r="V15" s="113">
        <v>0.0</v>
      </c>
      <c r="W15" s="113">
        <f t="shared" si="3"/>
        <v>20369</v>
      </c>
      <c r="X15" s="113">
        <f t="shared" si="4"/>
        <v>0</v>
      </c>
      <c r="Y15" s="32" t="s">
        <v>289</v>
      </c>
      <c r="Z15" s="32" t="s">
        <v>290</v>
      </c>
      <c r="AA15" s="32" t="s">
        <v>278</v>
      </c>
      <c r="AC15" s="109"/>
      <c r="AD15" s="109"/>
      <c r="AE15" s="109"/>
      <c r="AF15" s="109"/>
      <c r="AG15" s="109"/>
      <c r="AH15" s="109"/>
      <c r="AI15" s="109"/>
      <c r="AJ15" s="109"/>
      <c r="AK15" s="109"/>
    </row>
    <row r="16">
      <c r="A16" s="110">
        <v>46161.0</v>
      </c>
      <c r="B16" s="111">
        <v>70.0</v>
      </c>
      <c r="C16" s="111" t="s">
        <v>291</v>
      </c>
      <c r="E16" s="112">
        <v>65574.0</v>
      </c>
      <c r="F16" s="113">
        <v>126810.0</v>
      </c>
      <c r="G16" s="113">
        <v>12900.0</v>
      </c>
      <c r="H16" s="113">
        <v>12238.0</v>
      </c>
      <c r="I16" s="113">
        <v>8000.0</v>
      </c>
      <c r="J16" s="113">
        <v>0.0</v>
      </c>
      <c r="K16" s="114">
        <f t="shared" si="1"/>
        <v>93672</v>
      </c>
      <c r="L16" s="113">
        <v>0.0</v>
      </c>
      <c r="M16" s="113">
        <v>0.0</v>
      </c>
      <c r="N16" s="113">
        <v>0.0</v>
      </c>
      <c r="O16" s="113">
        <v>0.0</v>
      </c>
      <c r="P16" s="113">
        <v>0.0</v>
      </c>
      <c r="Q16" s="113">
        <v>0.0</v>
      </c>
      <c r="R16" s="113">
        <v>0.0</v>
      </c>
      <c r="S16" s="113">
        <v>0.0</v>
      </c>
      <c r="T16" s="113">
        <v>0.0</v>
      </c>
      <c r="U16" s="113">
        <f t="shared" si="2"/>
        <v>0</v>
      </c>
      <c r="V16" s="113">
        <v>0.0</v>
      </c>
      <c r="W16" s="113">
        <f t="shared" si="3"/>
        <v>65570</v>
      </c>
      <c r="X16" s="113">
        <f t="shared" si="4"/>
        <v>4</v>
      </c>
      <c r="Y16" s="32"/>
      <c r="Z16" s="32" t="s">
        <v>292</v>
      </c>
      <c r="AA16" s="32" t="s">
        <v>278</v>
      </c>
      <c r="AC16" s="109"/>
      <c r="AD16" s="109"/>
      <c r="AE16" s="109"/>
      <c r="AF16" s="109"/>
      <c r="AG16" s="109"/>
      <c r="AH16" s="109"/>
      <c r="AI16" s="109"/>
      <c r="AJ16" s="109"/>
      <c r="AK16" s="109"/>
    </row>
    <row r="17">
      <c r="A17" s="110">
        <v>46169.0</v>
      </c>
      <c r="B17" s="111">
        <v>70.0</v>
      </c>
      <c r="C17" s="111" t="s">
        <v>293</v>
      </c>
      <c r="E17" s="112">
        <v>81727.0</v>
      </c>
      <c r="F17" s="113">
        <v>156900.0</v>
      </c>
      <c r="G17" s="113">
        <v>12900.0</v>
      </c>
      <c r="H17" s="113">
        <v>15252.0</v>
      </c>
      <c r="I17" s="113">
        <v>12000.0</v>
      </c>
      <c r="J17" s="113">
        <v>0.0</v>
      </c>
      <c r="K17" s="114">
        <f t="shared" si="1"/>
        <v>116748</v>
      </c>
      <c r="L17" s="113">
        <v>0.0</v>
      </c>
      <c r="M17" s="113">
        <v>0.0</v>
      </c>
      <c r="N17" s="113">
        <v>0.0</v>
      </c>
      <c r="O17" s="113">
        <v>0.0</v>
      </c>
      <c r="P17" s="113">
        <v>0.0</v>
      </c>
      <c r="Q17" s="113">
        <v>0.0</v>
      </c>
      <c r="R17" s="113">
        <v>0.0</v>
      </c>
      <c r="S17" s="113">
        <v>0.0</v>
      </c>
      <c r="T17" s="113">
        <v>0.0</v>
      </c>
      <c r="U17" s="113">
        <f t="shared" si="2"/>
        <v>0</v>
      </c>
      <c r="V17" s="113">
        <v>0.0</v>
      </c>
      <c r="W17" s="113">
        <f t="shared" si="3"/>
        <v>81724</v>
      </c>
      <c r="X17" s="113">
        <f t="shared" si="4"/>
        <v>3</v>
      </c>
      <c r="Y17" s="32"/>
      <c r="Z17" s="32" t="s">
        <v>294</v>
      </c>
      <c r="AA17" s="32" t="s">
        <v>278</v>
      </c>
      <c r="AC17" s="109"/>
      <c r="AD17" s="109"/>
      <c r="AE17" s="109"/>
      <c r="AF17" s="109"/>
      <c r="AG17" s="109"/>
      <c r="AH17" s="109"/>
      <c r="AI17" s="109"/>
      <c r="AJ17" s="109"/>
      <c r="AK17" s="109"/>
    </row>
    <row r="18">
      <c r="A18" s="110">
        <v>46174.0</v>
      </c>
      <c r="B18" s="111">
        <v>30.0</v>
      </c>
      <c r="C18" s="111" t="s">
        <v>288</v>
      </c>
      <c r="D18" s="112">
        <f>SUM(E18:E27)</f>
        <v>564994</v>
      </c>
      <c r="E18" s="112">
        <v>8729.0</v>
      </c>
      <c r="F18" s="115">
        <v>35900.0</v>
      </c>
      <c r="G18" s="115">
        <v>12900.0</v>
      </c>
      <c r="H18" s="115">
        <v>2427.0</v>
      </c>
      <c r="I18" s="115">
        <v>2000.0</v>
      </c>
      <c r="J18" s="115">
        <v>0.0</v>
      </c>
      <c r="K18" s="116">
        <f t="shared" si="1"/>
        <v>18573</v>
      </c>
      <c r="L18" s="115">
        <v>3157.0</v>
      </c>
      <c r="M18" s="115">
        <v>0.0</v>
      </c>
      <c r="N18" s="115">
        <v>0.0</v>
      </c>
      <c r="O18" s="115">
        <v>0.0</v>
      </c>
      <c r="P18" s="115">
        <v>0.0</v>
      </c>
      <c r="Q18" s="115">
        <v>0.0</v>
      </c>
      <c r="R18" s="115">
        <v>0.0</v>
      </c>
      <c r="S18" s="115">
        <v>0.0</v>
      </c>
      <c r="T18" s="115">
        <v>0.0</v>
      </c>
      <c r="U18" s="115">
        <f t="shared" si="2"/>
        <v>-3157</v>
      </c>
      <c r="V18" s="115">
        <v>0.0</v>
      </c>
      <c r="W18" s="115">
        <f t="shared" si="3"/>
        <v>8729</v>
      </c>
      <c r="X18" s="115">
        <f t="shared" si="4"/>
        <v>0</v>
      </c>
      <c r="Y18" s="32" t="s">
        <v>295</v>
      </c>
      <c r="AA18" s="32"/>
      <c r="AC18" s="109"/>
      <c r="AD18" s="109"/>
      <c r="AE18" s="109"/>
      <c r="AF18" s="109"/>
      <c r="AG18" s="109"/>
      <c r="AH18" s="109"/>
      <c r="AI18" s="109"/>
      <c r="AJ18" s="109"/>
      <c r="AK18" s="109"/>
    </row>
    <row r="19">
      <c r="A19" s="110">
        <v>46174.0</v>
      </c>
      <c r="B19" s="111">
        <v>30.0</v>
      </c>
      <c r="C19" s="111" t="s">
        <v>291</v>
      </c>
      <c r="E19" s="112">
        <v>28098.0</v>
      </c>
      <c r="F19" s="115">
        <v>126810.0</v>
      </c>
      <c r="G19" s="115">
        <v>12900.0</v>
      </c>
      <c r="H19" s="115">
        <v>12238.0</v>
      </c>
      <c r="I19" s="115">
        <v>8000.0</v>
      </c>
      <c r="J19" s="115">
        <v>0.0</v>
      </c>
      <c r="K19" s="116">
        <f t="shared" si="1"/>
        <v>93672</v>
      </c>
      <c r="L19" s="115">
        <v>0.0</v>
      </c>
      <c r="M19" s="115">
        <v>0.0</v>
      </c>
      <c r="N19" s="115">
        <v>0.0</v>
      </c>
      <c r="O19" s="115">
        <v>0.0</v>
      </c>
      <c r="P19" s="115">
        <v>0.0</v>
      </c>
      <c r="Q19" s="115">
        <v>0.0</v>
      </c>
      <c r="R19" s="115">
        <v>0.0</v>
      </c>
      <c r="S19" s="115">
        <v>0.0</v>
      </c>
      <c r="T19" s="115">
        <v>0.0</v>
      </c>
      <c r="U19" s="115">
        <f t="shared" si="2"/>
        <v>0</v>
      </c>
      <c r="V19" s="115">
        <v>0.0</v>
      </c>
      <c r="W19" s="115">
        <f t="shared" si="3"/>
        <v>28102</v>
      </c>
      <c r="X19" s="115">
        <f t="shared" si="4"/>
        <v>-4</v>
      </c>
      <c r="Y19" s="109"/>
      <c r="Z19" s="109"/>
      <c r="AA19" s="109"/>
      <c r="AC19" s="109"/>
      <c r="AD19" s="109"/>
      <c r="AE19" s="109"/>
      <c r="AF19" s="109"/>
      <c r="AG19" s="109"/>
      <c r="AH19" s="109"/>
      <c r="AI19" s="109"/>
      <c r="AJ19" s="109"/>
      <c r="AK19" s="109"/>
    </row>
    <row r="20">
      <c r="A20" s="110">
        <v>46174.0</v>
      </c>
      <c r="B20" s="111">
        <v>30.0</v>
      </c>
      <c r="C20" s="111" t="s">
        <v>293</v>
      </c>
      <c r="E20" s="112">
        <v>35021.0</v>
      </c>
      <c r="F20" s="115">
        <v>156900.0</v>
      </c>
      <c r="G20" s="115">
        <v>12900.0</v>
      </c>
      <c r="H20" s="115">
        <v>15252.0</v>
      </c>
      <c r="I20" s="115">
        <v>12000.0</v>
      </c>
      <c r="J20" s="115">
        <v>0.0</v>
      </c>
      <c r="K20" s="116">
        <f t="shared" si="1"/>
        <v>116748</v>
      </c>
      <c r="L20" s="115">
        <v>0.0</v>
      </c>
      <c r="M20" s="115">
        <v>0.0</v>
      </c>
      <c r="N20" s="115">
        <v>0.0</v>
      </c>
      <c r="O20" s="115">
        <v>0.0</v>
      </c>
      <c r="P20" s="115">
        <v>0.0</v>
      </c>
      <c r="Q20" s="115">
        <v>0.0</v>
      </c>
      <c r="R20" s="115">
        <v>0.0</v>
      </c>
      <c r="S20" s="115">
        <v>0.0</v>
      </c>
      <c r="T20" s="115">
        <v>0.0</v>
      </c>
      <c r="U20" s="115">
        <f t="shared" si="2"/>
        <v>0</v>
      </c>
      <c r="V20" s="115">
        <v>0.0</v>
      </c>
      <c r="W20" s="115">
        <f t="shared" si="3"/>
        <v>35024</v>
      </c>
      <c r="X20" s="115">
        <f t="shared" si="4"/>
        <v>-3</v>
      </c>
      <c r="Y20" s="109"/>
      <c r="Z20" s="109"/>
      <c r="AA20" s="109"/>
      <c r="AC20" s="109"/>
      <c r="AD20" s="109"/>
      <c r="AE20" s="109"/>
      <c r="AF20" s="109"/>
      <c r="AG20" s="109"/>
      <c r="AH20" s="109"/>
      <c r="AI20" s="109"/>
      <c r="AJ20" s="109"/>
      <c r="AK20" s="109"/>
    </row>
    <row r="21">
      <c r="A21" s="110">
        <v>46175.0</v>
      </c>
      <c r="B21" s="111">
        <v>70.0</v>
      </c>
      <c r="C21" s="111" t="s">
        <v>296</v>
      </c>
      <c r="E21" s="112">
        <v>72361.0</v>
      </c>
      <c r="F21" s="113">
        <v>134710.0</v>
      </c>
      <c r="G21" s="113">
        <v>12900.0</v>
      </c>
      <c r="H21" s="113">
        <v>13150.0</v>
      </c>
      <c r="I21" s="113">
        <v>8000.0</v>
      </c>
      <c r="J21" s="113">
        <v>0.0</v>
      </c>
      <c r="K21" s="114">
        <f t="shared" si="1"/>
        <v>100660</v>
      </c>
      <c r="L21" s="113">
        <v>0.0</v>
      </c>
      <c r="M21" s="113">
        <v>0.0</v>
      </c>
      <c r="N21" s="113">
        <v>0.0</v>
      </c>
      <c r="O21" s="113">
        <v>0.0</v>
      </c>
      <c r="P21" s="113">
        <v>0.0</v>
      </c>
      <c r="Q21" s="113">
        <v>0.0</v>
      </c>
      <c r="R21" s="113">
        <v>0.0</v>
      </c>
      <c r="S21" s="113">
        <v>0.0</v>
      </c>
      <c r="T21" s="113">
        <v>0.0</v>
      </c>
      <c r="U21" s="113">
        <f t="shared" si="2"/>
        <v>0</v>
      </c>
      <c r="V21" s="113">
        <v>1896.0</v>
      </c>
      <c r="W21" s="113">
        <f t="shared" si="3"/>
        <v>72358</v>
      </c>
      <c r="X21" s="113">
        <f t="shared" si="4"/>
        <v>3</v>
      </c>
      <c r="Y21" s="32"/>
      <c r="Z21" s="32" t="s">
        <v>297</v>
      </c>
      <c r="AA21" s="32" t="s">
        <v>278</v>
      </c>
      <c r="AC21" s="109"/>
      <c r="AD21" s="109"/>
      <c r="AE21" s="109"/>
      <c r="AF21" s="109"/>
      <c r="AG21" s="109"/>
      <c r="AH21" s="109"/>
      <c r="AI21" s="109"/>
      <c r="AJ21" s="109"/>
      <c r="AK21" s="109"/>
    </row>
    <row r="22">
      <c r="A22" s="110">
        <v>46175.0</v>
      </c>
      <c r="B22" s="111">
        <v>70.0</v>
      </c>
      <c r="C22" s="111" t="s">
        <v>298</v>
      </c>
      <c r="E22" s="112">
        <v>79448.0</v>
      </c>
      <c r="F22" s="113">
        <v>150720.0</v>
      </c>
      <c r="G22" s="113">
        <v>12900.0</v>
      </c>
      <c r="H22" s="113">
        <v>14825.0</v>
      </c>
      <c r="I22" s="113">
        <v>9500.0</v>
      </c>
      <c r="J22" s="113">
        <v>0.0</v>
      </c>
      <c r="K22" s="114">
        <f t="shared" si="1"/>
        <v>113495</v>
      </c>
      <c r="L22" s="113">
        <v>0.0</v>
      </c>
      <c r="M22" s="113">
        <v>0.0</v>
      </c>
      <c r="N22" s="113">
        <v>0.0</v>
      </c>
      <c r="O22" s="113">
        <v>0.0</v>
      </c>
      <c r="P22" s="113">
        <v>0.0</v>
      </c>
      <c r="Q22" s="113">
        <v>0.0</v>
      </c>
      <c r="R22" s="113">
        <v>0.0</v>
      </c>
      <c r="S22" s="113">
        <v>0.0</v>
      </c>
      <c r="T22" s="113">
        <v>0.0</v>
      </c>
      <c r="U22" s="113">
        <f t="shared" si="2"/>
        <v>0</v>
      </c>
      <c r="V22" s="113">
        <v>0.0</v>
      </c>
      <c r="W22" s="113">
        <f t="shared" si="3"/>
        <v>79447</v>
      </c>
      <c r="X22" s="113">
        <f t="shared" si="4"/>
        <v>1</v>
      </c>
      <c r="Y22" s="32"/>
      <c r="Z22" s="32" t="s">
        <v>299</v>
      </c>
      <c r="AA22" s="32" t="s">
        <v>278</v>
      </c>
      <c r="AB22" s="32" t="s">
        <v>300</v>
      </c>
      <c r="AC22" s="109"/>
      <c r="AD22" s="109"/>
      <c r="AE22" s="109"/>
      <c r="AF22" s="109"/>
      <c r="AG22" s="109"/>
      <c r="AH22" s="109"/>
      <c r="AI22" s="109"/>
      <c r="AJ22" s="109"/>
      <c r="AK22" s="109"/>
    </row>
    <row r="23">
      <c r="A23" s="110">
        <v>46182.0</v>
      </c>
      <c r="B23" s="111">
        <v>70.0</v>
      </c>
      <c r="C23" s="111" t="s">
        <v>301</v>
      </c>
      <c r="E23" s="112">
        <v>130864.0</v>
      </c>
      <c r="F23" s="113">
        <v>247500.0</v>
      </c>
      <c r="G23" s="113">
        <v>19100.0</v>
      </c>
      <c r="H23" s="113">
        <v>24460.0</v>
      </c>
      <c r="I23" s="113">
        <v>17000.0</v>
      </c>
      <c r="J23" s="113">
        <v>0.0</v>
      </c>
      <c r="K23" s="114">
        <f t="shared" si="1"/>
        <v>186940</v>
      </c>
      <c r="L23" s="113">
        <v>0.0</v>
      </c>
      <c r="M23" s="113">
        <v>0.0</v>
      </c>
      <c r="N23" s="113">
        <v>0.0</v>
      </c>
      <c r="O23" s="113">
        <v>0.0</v>
      </c>
      <c r="P23" s="113">
        <v>0.0</v>
      </c>
      <c r="Q23" s="113">
        <v>0.0</v>
      </c>
      <c r="R23" s="113">
        <v>0.0</v>
      </c>
      <c r="S23" s="113">
        <v>0.0</v>
      </c>
      <c r="T23" s="113">
        <v>0.0</v>
      </c>
      <c r="U23" s="113">
        <f t="shared" si="2"/>
        <v>0</v>
      </c>
      <c r="V23" s="113">
        <v>0.0</v>
      </c>
      <c r="W23" s="113">
        <f t="shared" si="3"/>
        <v>130858</v>
      </c>
      <c r="X23" s="113">
        <f t="shared" si="4"/>
        <v>6</v>
      </c>
      <c r="Y23" s="32"/>
      <c r="Z23" s="32" t="s">
        <v>302</v>
      </c>
      <c r="AA23" s="32" t="s">
        <v>303</v>
      </c>
      <c r="AC23" s="109"/>
      <c r="AD23" s="109"/>
      <c r="AE23" s="109"/>
      <c r="AF23" s="109"/>
      <c r="AG23" s="109"/>
      <c r="AH23" s="109"/>
      <c r="AI23" s="109"/>
      <c r="AJ23" s="109"/>
      <c r="AK23" s="109"/>
    </row>
    <row r="24">
      <c r="A24" s="110">
        <v>46183.0</v>
      </c>
      <c r="B24" s="111">
        <v>30.0</v>
      </c>
      <c r="C24" s="111" t="s">
        <v>296</v>
      </c>
      <c r="E24" s="112">
        <v>30195.0</v>
      </c>
      <c r="F24" s="115">
        <v>134710.0</v>
      </c>
      <c r="G24" s="115">
        <v>12900.0</v>
      </c>
      <c r="H24" s="115">
        <v>13150.0</v>
      </c>
      <c r="I24" s="115">
        <v>8000.0</v>
      </c>
      <c r="J24" s="115">
        <v>0.0</v>
      </c>
      <c r="K24" s="116">
        <f t="shared" si="1"/>
        <v>100660</v>
      </c>
      <c r="L24" s="115">
        <v>0.0</v>
      </c>
      <c r="M24" s="115">
        <v>0.0</v>
      </c>
      <c r="N24" s="115">
        <v>0.0</v>
      </c>
      <c r="O24" s="115">
        <v>0.0</v>
      </c>
      <c r="P24" s="115">
        <v>0.0</v>
      </c>
      <c r="Q24" s="115">
        <v>0.0</v>
      </c>
      <c r="R24" s="115">
        <v>0.0</v>
      </c>
      <c r="S24" s="115">
        <v>0.0</v>
      </c>
      <c r="T24" s="115">
        <v>0.0</v>
      </c>
      <c r="U24" s="115">
        <f t="shared" si="2"/>
        <v>0</v>
      </c>
      <c r="V24" s="115">
        <v>0.0</v>
      </c>
      <c r="W24" s="115">
        <f t="shared" si="3"/>
        <v>30198</v>
      </c>
      <c r="X24" s="115">
        <f t="shared" si="4"/>
        <v>-3</v>
      </c>
      <c r="Y24" s="109"/>
      <c r="Z24" s="109"/>
      <c r="AA24" s="109"/>
      <c r="AC24" s="109"/>
      <c r="AD24" s="109"/>
      <c r="AE24" s="109"/>
      <c r="AF24" s="109"/>
      <c r="AG24" s="109"/>
      <c r="AH24" s="109"/>
      <c r="AI24" s="109"/>
      <c r="AJ24" s="109"/>
      <c r="AK24" s="109"/>
    </row>
    <row r="25">
      <c r="A25" s="110">
        <v>46189.0</v>
      </c>
      <c r="B25" s="111">
        <v>70.0</v>
      </c>
      <c r="C25" s="111" t="s">
        <v>304</v>
      </c>
      <c r="E25" s="112">
        <v>82071.0</v>
      </c>
      <c r="F25" s="113">
        <v>270000.0</v>
      </c>
      <c r="G25" s="113">
        <v>25800.0</v>
      </c>
      <c r="H25" s="113">
        <v>27311.0</v>
      </c>
      <c r="I25" s="113">
        <v>8100.0</v>
      </c>
      <c r="J25" s="113">
        <v>0.0</v>
      </c>
      <c r="K25" s="114">
        <f t="shared" si="1"/>
        <v>208789</v>
      </c>
      <c r="L25" s="113">
        <v>0.0</v>
      </c>
      <c r="M25" s="113">
        <v>0.0</v>
      </c>
      <c r="N25" s="113">
        <v>22773.0</v>
      </c>
      <c r="O25" s="113">
        <v>41308.0</v>
      </c>
      <c r="P25" s="113">
        <v>0.0</v>
      </c>
      <c r="Q25" s="113">
        <v>0.0</v>
      </c>
      <c r="R25" s="113">
        <v>0.0</v>
      </c>
      <c r="S25" s="113">
        <v>0.0</v>
      </c>
      <c r="T25" s="113">
        <v>0.0</v>
      </c>
      <c r="U25" s="113">
        <f t="shared" si="2"/>
        <v>64081</v>
      </c>
      <c r="V25" s="113">
        <v>0.0</v>
      </c>
      <c r="W25" s="113">
        <f t="shared" si="3"/>
        <v>82071</v>
      </c>
      <c r="X25" s="113">
        <f t="shared" si="4"/>
        <v>0</v>
      </c>
      <c r="Y25" s="32"/>
      <c r="Z25" s="32" t="s">
        <v>305</v>
      </c>
      <c r="AA25" s="32" t="s">
        <v>281</v>
      </c>
      <c r="AC25" s="109"/>
      <c r="AD25" s="109"/>
      <c r="AE25" s="109"/>
      <c r="AF25" s="109"/>
      <c r="AG25" s="109"/>
      <c r="AH25" s="109"/>
      <c r="AI25" s="109"/>
      <c r="AJ25" s="109"/>
      <c r="AK25" s="109"/>
    </row>
    <row r="26">
      <c r="A26" s="110">
        <v>46196.0</v>
      </c>
      <c r="B26" s="111">
        <v>70.0</v>
      </c>
      <c r="C26" s="111" t="s">
        <v>306</v>
      </c>
      <c r="E26" s="112">
        <v>81993.0</v>
      </c>
      <c r="F26" s="113">
        <v>258800.0</v>
      </c>
      <c r="G26" s="113">
        <v>9600.0</v>
      </c>
      <c r="H26" s="113">
        <v>28335.0</v>
      </c>
      <c r="I26" s="113">
        <v>3900.0</v>
      </c>
      <c r="J26" s="113">
        <v>0.0</v>
      </c>
      <c r="K26" s="114">
        <f t="shared" si="1"/>
        <v>216965</v>
      </c>
      <c r="L26" s="113">
        <v>0.0</v>
      </c>
      <c r="M26" s="113">
        <v>0.0</v>
      </c>
      <c r="N26" s="113">
        <v>25192.0</v>
      </c>
      <c r="O26" s="113">
        <v>44689.0</v>
      </c>
      <c r="P26" s="113">
        <v>0.0</v>
      </c>
      <c r="Q26" s="113">
        <v>0.0</v>
      </c>
      <c r="R26" s="113">
        <v>0.0</v>
      </c>
      <c r="S26" s="113">
        <v>0.0</v>
      </c>
      <c r="T26" s="113">
        <v>0.0</v>
      </c>
      <c r="U26" s="113">
        <f t="shared" si="2"/>
        <v>69881</v>
      </c>
      <c r="V26" s="113">
        <v>0.0</v>
      </c>
      <c r="W26" s="113">
        <f t="shared" si="3"/>
        <v>81995</v>
      </c>
      <c r="X26" s="113">
        <f t="shared" si="4"/>
        <v>-2</v>
      </c>
      <c r="Y26" s="32"/>
      <c r="Z26" s="32" t="s">
        <v>307</v>
      </c>
      <c r="AA26" s="32" t="s">
        <v>308</v>
      </c>
      <c r="AC26" s="109"/>
      <c r="AD26" s="109"/>
      <c r="AE26" s="109"/>
      <c r="AF26" s="109"/>
      <c r="AG26" s="109"/>
      <c r="AH26" s="109"/>
      <c r="AI26" s="109"/>
      <c r="AJ26" s="109"/>
      <c r="AK26" s="109"/>
    </row>
    <row r="27">
      <c r="A27" s="110">
        <v>46202.0</v>
      </c>
      <c r="B27" s="111">
        <v>100.0</v>
      </c>
      <c r="C27" s="111" t="s">
        <v>309</v>
      </c>
      <c r="E27" s="112">
        <v>16214.0</v>
      </c>
      <c r="F27" s="115">
        <v>0.0</v>
      </c>
      <c r="G27" s="115">
        <v>0.0</v>
      </c>
      <c r="H27" s="115">
        <v>0.0</v>
      </c>
      <c r="I27" s="115">
        <v>0.0</v>
      </c>
      <c r="J27" s="115">
        <v>0.0</v>
      </c>
      <c r="K27" s="116">
        <f t="shared" si="1"/>
        <v>0</v>
      </c>
      <c r="L27" s="115">
        <v>0.0</v>
      </c>
      <c r="M27" s="115">
        <v>0.0</v>
      </c>
      <c r="N27" s="115">
        <v>0.0</v>
      </c>
      <c r="O27" s="115">
        <v>0.0</v>
      </c>
      <c r="P27" s="115">
        <v>0.0</v>
      </c>
      <c r="Q27" s="115">
        <v>0.0</v>
      </c>
      <c r="R27" s="115">
        <v>0.0</v>
      </c>
      <c r="S27" s="115">
        <v>0.0</v>
      </c>
      <c r="T27" s="115">
        <v>0.0</v>
      </c>
      <c r="U27" s="115">
        <v>0.0</v>
      </c>
      <c r="V27" s="115">
        <v>16214.0</v>
      </c>
      <c r="W27" s="115">
        <f t="shared" si="3"/>
        <v>16214</v>
      </c>
      <c r="X27" s="115">
        <f t="shared" si="4"/>
        <v>0</v>
      </c>
      <c r="Y27" s="109"/>
      <c r="Z27" s="109"/>
      <c r="AA27" s="109"/>
      <c r="AC27" s="109"/>
      <c r="AD27" s="109"/>
      <c r="AE27" s="109"/>
      <c r="AF27" s="109"/>
      <c r="AG27" s="109"/>
      <c r="AH27" s="109"/>
      <c r="AI27" s="109"/>
      <c r="AJ27" s="109"/>
      <c r="AK27" s="109"/>
    </row>
    <row r="28">
      <c r="A28" s="110">
        <v>46204.0</v>
      </c>
      <c r="B28" s="111">
        <v>30.0</v>
      </c>
      <c r="C28" s="111" t="s">
        <v>301</v>
      </c>
      <c r="D28" s="112"/>
      <c r="E28" s="112">
        <v>56076.0</v>
      </c>
      <c r="F28" s="115">
        <v>247500.0</v>
      </c>
      <c r="G28" s="115">
        <v>19100.0</v>
      </c>
      <c r="H28" s="115">
        <v>24460.0</v>
      </c>
      <c r="I28" s="115">
        <v>17000.0</v>
      </c>
      <c r="J28" s="115">
        <v>0.0</v>
      </c>
      <c r="K28" s="116">
        <f t="shared" si="1"/>
        <v>186940</v>
      </c>
      <c r="L28" s="115">
        <v>0.0</v>
      </c>
      <c r="M28" s="115">
        <v>0.0</v>
      </c>
      <c r="N28" s="115">
        <v>0.0</v>
      </c>
      <c r="O28" s="115">
        <v>0.0</v>
      </c>
      <c r="P28" s="115">
        <v>0.0</v>
      </c>
      <c r="Q28" s="115">
        <v>0.0</v>
      </c>
      <c r="R28" s="115">
        <v>0.0</v>
      </c>
      <c r="S28" s="115">
        <v>0.0</v>
      </c>
      <c r="T28" s="115">
        <v>0.0</v>
      </c>
      <c r="U28" s="115">
        <f t="shared" ref="U28:U30" si="5">SUM(M28:T28)-L28</f>
        <v>0</v>
      </c>
      <c r="V28" s="115">
        <v>0.0</v>
      </c>
      <c r="W28" s="115">
        <f t="shared" si="3"/>
        <v>56082</v>
      </c>
      <c r="X28" s="115">
        <f t="shared" si="4"/>
        <v>-6</v>
      </c>
      <c r="Y28" s="109"/>
      <c r="Z28" s="109"/>
      <c r="AA28" s="109"/>
      <c r="AB28" s="32"/>
      <c r="AC28" s="109"/>
      <c r="AD28" s="109"/>
      <c r="AE28" s="109"/>
      <c r="AF28" s="109"/>
      <c r="AG28" s="109"/>
      <c r="AH28" s="109"/>
      <c r="AI28" s="109"/>
      <c r="AJ28" s="109"/>
      <c r="AK28" s="109"/>
    </row>
    <row r="29">
      <c r="A29" s="110">
        <v>46204.0</v>
      </c>
      <c r="B29" s="111">
        <v>30.0</v>
      </c>
      <c r="C29" s="111" t="s">
        <v>304</v>
      </c>
      <c r="D29" s="112"/>
      <c r="E29" s="112">
        <v>62637.0</v>
      </c>
      <c r="F29" s="115">
        <v>270000.0</v>
      </c>
      <c r="G29" s="115">
        <v>25800.0</v>
      </c>
      <c r="H29" s="115">
        <v>27311.0</v>
      </c>
      <c r="I29" s="115">
        <v>8100.0</v>
      </c>
      <c r="J29" s="115">
        <v>0.0</v>
      </c>
      <c r="K29" s="116">
        <f t="shared" si="1"/>
        <v>208789</v>
      </c>
      <c r="L29" s="115">
        <v>0.0</v>
      </c>
      <c r="M29" s="115">
        <v>0.0</v>
      </c>
      <c r="N29" s="115">
        <v>0.0</v>
      </c>
      <c r="O29" s="115">
        <v>0.0</v>
      </c>
      <c r="P29" s="115">
        <v>0.0</v>
      </c>
      <c r="Q29" s="115">
        <v>0.0</v>
      </c>
      <c r="R29" s="115">
        <v>0.0</v>
      </c>
      <c r="S29" s="115">
        <v>0.0</v>
      </c>
      <c r="T29" s="115">
        <v>0.0</v>
      </c>
      <c r="U29" s="115">
        <f t="shared" si="5"/>
        <v>0</v>
      </c>
      <c r="V29" s="115">
        <v>0.0</v>
      </c>
      <c r="W29" s="115">
        <f t="shared" si="3"/>
        <v>62637</v>
      </c>
      <c r="X29" s="115">
        <f t="shared" si="4"/>
        <v>0</v>
      </c>
      <c r="Y29" s="109"/>
      <c r="Z29" s="109"/>
      <c r="AA29" s="109"/>
      <c r="AB29" s="32"/>
      <c r="AC29" s="109"/>
      <c r="AD29" s="109"/>
      <c r="AE29" s="109"/>
      <c r="AF29" s="109"/>
      <c r="AG29" s="109"/>
      <c r="AH29" s="109"/>
      <c r="AI29" s="109"/>
      <c r="AJ29" s="109"/>
      <c r="AK29" s="109"/>
    </row>
    <row r="30">
      <c r="A30" s="110">
        <v>46204.0</v>
      </c>
      <c r="B30" s="111">
        <v>30.0</v>
      </c>
      <c r="C30" s="111" t="s">
        <v>306</v>
      </c>
      <c r="D30" s="112"/>
      <c r="E30" s="112">
        <v>65091.0</v>
      </c>
      <c r="F30" s="115">
        <v>258800.0</v>
      </c>
      <c r="G30" s="115">
        <v>9600.0</v>
      </c>
      <c r="H30" s="115">
        <v>28335.0</v>
      </c>
      <c r="I30" s="115">
        <v>3900.0</v>
      </c>
      <c r="J30" s="115">
        <v>0.0</v>
      </c>
      <c r="K30" s="116">
        <f t="shared" si="1"/>
        <v>216965</v>
      </c>
      <c r="L30" s="115">
        <v>0.0</v>
      </c>
      <c r="M30" s="115">
        <v>0.0</v>
      </c>
      <c r="N30" s="115">
        <v>0.0</v>
      </c>
      <c r="O30" s="115">
        <v>0.0</v>
      </c>
      <c r="P30" s="115">
        <v>0.0</v>
      </c>
      <c r="Q30" s="115">
        <v>0.0</v>
      </c>
      <c r="R30" s="115">
        <v>0.0</v>
      </c>
      <c r="S30" s="115">
        <v>0.0</v>
      </c>
      <c r="T30" s="115">
        <v>0.0</v>
      </c>
      <c r="U30" s="115">
        <f t="shared" si="5"/>
        <v>0</v>
      </c>
      <c r="V30" s="115">
        <v>0.0</v>
      </c>
      <c r="W30" s="115">
        <f t="shared" si="3"/>
        <v>65090</v>
      </c>
      <c r="X30" s="115">
        <f t="shared" si="4"/>
        <v>1</v>
      </c>
      <c r="Y30" s="109"/>
      <c r="Z30" s="109"/>
      <c r="AA30" s="109"/>
      <c r="AB30" s="32"/>
      <c r="AC30" s="109"/>
      <c r="AD30" s="109"/>
      <c r="AE30" s="109"/>
      <c r="AF30" s="109"/>
      <c r="AG30" s="109"/>
      <c r="AH30" s="109"/>
      <c r="AI30" s="109"/>
      <c r="AJ30" s="109"/>
      <c r="AK30" s="109"/>
    </row>
    <row r="31">
      <c r="A31" s="107" t="s">
        <v>137</v>
      </c>
      <c r="E31" s="117">
        <f>SUM(E3:E30)</f>
        <v>1049136</v>
      </c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>
        <f>SUM(X3:X27)</f>
        <v>3</v>
      </c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</row>
    <row r="32">
      <c r="A32" s="109"/>
      <c r="B32" s="109"/>
      <c r="C32" s="109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</row>
    <row r="33">
      <c r="A33" s="109"/>
      <c r="B33" s="109"/>
      <c r="C33" s="109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</row>
    <row r="34">
      <c r="A34" s="109"/>
      <c r="B34" s="109"/>
      <c r="C34" s="109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</row>
    <row r="35">
      <c r="A35" s="109"/>
      <c r="B35" s="109"/>
      <c r="C35" s="109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</row>
    <row r="36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</row>
    <row r="37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</row>
    <row r="38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</row>
    <row r="39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</row>
    <row r="40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</row>
    <row r="4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</row>
    <row r="42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</row>
    <row r="43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</row>
    <row r="44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</row>
    <row r="4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</row>
    <row r="46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</row>
    <row r="47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</row>
    <row r="48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</row>
    <row r="49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</row>
    <row r="50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</row>
    <row r="5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</row>
    <row r="52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</row>
    <row r="5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</row>
    <row r="54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</row>
    <row r="55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</row>
    <row r="56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</row>
    <row r="57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</row>
    <row r="58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</row>
    <row r="59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</row>
    <row r="60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</row>
    <row r="6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</row>
    <row r="62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</row>
    <row r="64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</row>
    <row r="65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</row>
    <row r="66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</row>
    <row r="67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</row>
    <row r="6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</row>
    <row r="69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</row>
    <row r="70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</row>
    <row r="7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</row>
    <row r="72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</row>
    <row r="73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</row>
    <row r="74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</row>
    <row r="7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</row>
    <row r="76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</row>
    <row r="77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</row>
    <row r="7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</row>
    <row r="79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</row>
    <row r="80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</row>
    <row r="8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</row>
    <row r="82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</row>
    <row r="83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</row>
    <row r="84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</row>
    <row r="85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</row>
    <row r="86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</row>
    <row r="87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</row>
    <row r="88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</row>
    <row r="89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</row>
    <row r="90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</row>
    <row r="9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</row>
    <row r="92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</row>
    <row r="93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</row>
    <row r="94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</row>
    <row r="95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</row>
    <row r="96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</row>
    <row r="97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</row>
    <row r="98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</row>
    <row r="99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</row>
    <row r="100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</row>
    <row r="10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</row>
    <row r="102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</row>
    <row r="103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</row>
    <row r="104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</row>
    <row r="105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</row>
    <row r="106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</row>
    <row r="107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</row>
    <row r="108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</row>
    <row r="109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</row>
    <row r="110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</row>
    <row r="11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</row>
    <row r="112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</row>
    <row r="113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</row>
    <row r="114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</row>
    <row r="115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</row>
    <row r="116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</row>
    <row r="117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</row>
    <row r="118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</row>
    <row r="119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</row>
    <row r="120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</row>
    <row r="12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</row>
    <row r="122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</row>
    <row r="123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</row>
    <row r="124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</row>
    <row r="125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</row>
    <row r="126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</row>
    <row r="127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</row>
    <row r="128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</row>
    <row r="129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</row>
    <row r="130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</row>
    <row r="13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</row>
    <row r="132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</row>
    <row r="133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</row>
    <row r="134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</row>
    <row r="135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</row>
    <row r="136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</row>
    <row r="137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</row>
    <row r="13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</row>
    <row r="139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</row>
    <row r="140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</row>
    <row r="14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</row>
    <row r="142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</row>
    <row r="143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</row>
    <row r="144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</row>
    <row r="145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</row>
    <row r="146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</row>
    <row r="147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</row>
    <row r="14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</row>
    <row r="149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</row>
    <row r="150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</row>
    <row r="15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</row>
    <row r="152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</row>
    <row r="153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</row>
    <row r="154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</row>
    <row r="15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</row>
    <row r="156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</row>
    <row r="157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</row>
    <row r="15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</row>
    <row r="159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</row>
    <row r="160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</row>
    <row r="16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</row>
    <row r="162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</row>
    <row r="163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</row>
    <row r="164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</row>
    <row r="16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</row>
    <row r="166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</row>
    <row r="167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</row>
    <row r="16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</row>
    <row r="169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</row>
    <row r="170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</row>
    <row r="17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</row>
    <row r="172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</row>
    <row r="17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</row>
    <row r="174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</row>
    <row r="17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</row>
    <row r="176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</row>
    <row r="177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</row>
    <row r="17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</row>
    <row r="179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</row>
    <row r="180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</row>
    <row r="18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</row>
    <row r="182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</row>
    <row r="18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</row>
    <row r="184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</row>
    <row r="18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</row>
    <row r="186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</row>
    <row r="187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</row>
    <row r="18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</row>
    <row r="189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</row>
    <row r="190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</row>
    <row r="19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</row>
    <row r="192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</row>
    <row r="19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</row>
    <row r="194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</row>
    <row r="19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</row>
    <row r="196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</row>
    <row r="197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</row>
    <row r="199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09"/>
      <c r="AK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09"/>
      <c r="AK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09"/>
      <c r="AK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09"/>
      <c r="AK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09"/>
      <c r="AK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09"/>
      <c r="AK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09"/>
      <c r="AK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09"/>
      <c r="AK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09"/>
      <c r="AK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09"/>
      <c r="AK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09"/>
      <c r="AK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09"/>
      <c r="AK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09"/>
      <c r="AK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09"/>
      <c r="AK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09"/>
      <c r="AK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09"/>
      <c r="AK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09"/>
      <c r="AK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09"/>
      <c r="AK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09"/>
      <c r="AK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09"/>
      <c r="AK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09"/>
      <c r="AK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09"/>
      <c r="AK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09"/>
      <c r="AK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09"/>
      <c r="AK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09"/>
      <c r="AK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09"/>
      <c r="AK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09"/>
      <c r="AK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09"/>
      <c r="AK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09"/>
      <c r="AK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</row>
    <row r="100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  <c r="AG1001" s="109"/>
      <c r="AH1001" s="109"/>
      <c r="AI1001" s="109"/>
      <c r="AJ1001" s="109"/>
      <c r="AK1001" s="109"/>
    </row>
    <row r="1002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  <c r="AG1002" s="109"/>
      <c r="AH1002" s="109"/>
      <c r="AI1002" s="109"/>
      <c r="AJ1002" s="109"/>
      <c r="AK1002" s="109"/>
    </row>
    <row r="1003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  <c r="AG1003" s="109"/>
      <c r="AH1003" s="109"/>
      <c r="AI1003" s="109"/>
      <c r="AJ1003" s="109"/>
      <c r="AK1003" s="109"/>
    </row>
  </sheetData>
  <mergeCells count="24">
    <mergeCell ref="Z1:Z2"/>
    <mergeCell ref="AA1:AA2"/>
    <mergeCell ref="AB1:AB2"/>
    <mergeCell ref="AB5:AB12"/>
    <mergeCell ref="AB13:AB21"/>
    <mergeCell ref="AB22:AB27"/>
    <mergeCell ref="I1:J1"/>
    <mergeCell ref="K1:K2"/>
    <mergeCell ref="N1:U1"/>
    <mergeCell ref="V1:V2"/>
    <mergeCell ref="W1:W2"/>
    <mergeCell ref="X1:X2"/>
    <mergeCell ref="Y1:Y2"/>
    <mergeCell ref="D4:D8"/>
    <mergeCell ref="D9:D17"/>
    <mergeCell ref="D18:D27"/>
    <mergeCell ref="A31:D31"/>
    <mergeCell ref="A1:A2"/>
    <mergeCell ref="B1:B2"/>
    <mergeCell ref="C1:C2"/>
    <mergeCell ref="D1:D2"/>
    <mergeCell ref="E1:E2"/>
    <mergeCell ref="F1:G1"/>
    <mergeCell ref="H1:H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43"/>
    <col customWidth="1" min="3" max="3" width="20.14"/>
    <col customWidth="1" min="4" max="4" width="17.86"/>
  </cols>
  <sheetData>
    <row r="1">
      <c r="A1" s="118" t="s">
        <v>138</v>
      </c>
      <c r="B1" s="118" t="s">
        <v>310</v>
      </c>
      <c r="C1" s="118" t="s">
        <v>311</v>
      </c>
      <c r="D1" s="118" t="s">
        <v>312</v>
      </c>
    </row>
    <row r="3">
      <c r="A3" s="118" t="s">
        <v>313</v>
      </c>
      <c r="B3" s="118" t="s">
        <v>314</v>
      </c>
      <c r="C3" s="118" t="s">
        <v>315</v>
      </c>
      <c r="D3" s="118" t="s">
        <v>316</v>
      </c>
    </row>
    <row r="4">
      <c r="A4" s="118" t="s">
        <v>317</v>
      </c>
      <c r="B4" s="119" t="s">
        <v>318</v>
      </c>
      <c r="C4" s="118" t="s">
        <v>319</v>
      </c>
      <c r="D4" s="118" t="s">
        <v>320</v>
      </c>
    </row>
    <row r="5">
      <c r="A5" s="118" t="s">
        <v>321</v>
      </c>
      <c r="B5" s="118" t="s">
        <v>322</v>
      </c>
      <c r="C5" s="118" t="s">
        <v>323</v>
      </c>
      <c r="D5" s="118" t="s">
        <v>324</v>
      </c>
    </row>
    <row r="6">
      <c r="A6" s="118" t="s">
        <v>325</v>
      </c>
      <c r="B6" s="119" t="s">
        <v>318</v>
      </c>
      <c r="C6" s="119" t="s">
        <v>326</v>
      </c>
      <c r="D6" s="118" t="s">
        <v>327</v>
      </c>
    </row>
    <row r="7">
      <c r="A7" s="118" t="s">
        <v>328</v>
      </c>
      <c r="B7" s="119" t="s">
        <v>318</v>
      </c>
      <c r="C7" s="119" t="s">
        <v>329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15.29"/>
    <col customWidth="1" min="3" max="3" width="7.57"/>
    <col customWidth="1" min="4" max="4" width="6.86"/>
    <col customWidth="1" min="5" max="5" width="6.14"/>
    <col customWidth="1" min="6" max="6" width="7.43"/>
    <col customWidth="1" min="7" max="7" width="8.43"/>
    <col customWidth="1" min="8" max="8" width="7.86"/>
    <col customWidth="1" min="9" max="9" width="8.86"/>
    <col customWidth="1" min="10" max="10" width="11.29"/>
    <col customWidth="1" min="11" max="11" width="8.43"/>
    <col customWidth="1" min="12" max="12" width="7.57"/>
    <col customWidth="1" min="13" max="13" width="7.14"/>
    <col customWidth="1" min="14" max="14" width="7.43"/>
    <col customWidth="1" min="15" max="15" width="7.86"/>
    <col customWidth="1" min="16" max="16" width="7.57"/>
    <col customWidth="1" min="17" max="17" width="8.0"/>
    <col customWidth="1" min="18" max="18" width="28.57"/>
  </cols>
  <sheetData>
    <row r="1">
      <c r="A1" s="120" t="s">
        <v>138</v>
      </c>
      <c r="B1" s="120" t="s">
        <v>330</v>
      </c>
      <c r="C1" s="121" t="s">
        <v>2</v>
      </c>
      <c r="D1" s="120" t="s">
        <v>17</v>
      </c>
      <c r="E1" s="120" t="s">
        <v>11</v>
      </c>
      <c r="F1" s="120" t="s">
        <v>26</v>
      </c>
      <c r="G1" s="120" t="s">
        <v>331</v>
      </c>
      <c r="H1" s="120" t="s">
        <v>332</v>
      </c>
      <c r="I1" s="120" t="s">
        <v>25</v>
      </c>
      <c r="J1" s="120" t="s">
        <v>333</v>
      </c>
      <c r="K1" s="120" t="s">
        <v>334</v>
      </c>
      <c r="L1" s="120" t="s">
        <v>31</v>
      </c>
      <c r="M1" s="120" t="s">
        <v>335</v>
      </c>
      <c r="N1" s="120" t="s">
        <v>336</v>
      </c>
      <c r="O1" s="120" t="s">
        <v>337</v>
      </c>
      <c r="P1" s="120" t="s">
        <v>338</v>
      </c>
      <c r="Q1" s="120" t="s">
        <v>339</v>
      </c>
      <c r="R1" s="120" t="s">
        <v>8</v>
      </c>
      <c r="S1" s="122"/>
      <c r="T1" s="122"/>
      <c r="U1" s="122"/>
      <c r="V1" s="122"/>
      <c r="W1" s="122"/>
      <c r="X1" s="122"/>
      <c r="Y1" s="122"/>
      <c r="Z1" s="122"/>
      <c r="AA1" s="122"/>
    </row>
    <row r="2">
      <c r="A2" s="123" t="s">
        <v>43</v>
      </c>
      <c r="B2" s="123" t="s">
        <v>340</v>
      </c>
      <c r="C2" s="124">
        <v>16000.0</v>
      </c>
      <c r="D2" s="122"/>
      <c r="E2" s="123">
        <v>15.0</v>
      </c>
      <c r="F2" s="122"/>
      <c r="G2" s="123">
        <v>4.0</v>
      </c>
      <c r="H2" s="122"/>
      <c r="I2" s="122"/>
      <c r="J2" s="122"/>
      <c r="K2" s="122"/>
      <c r="L2" s="122"/>
      <c r="M2" s="122"/>
      <c r="N2" s="122"/>
      <c r="O2" s="122"/>
      <c r="P2" s="123"/>
      <c r="Q2" s="123"/>
      <c r="R2" s="123" t="s">
        <v>341</v>
      </c>
      <c r="S2" s="122"/>
      <c r="T2" s="122"/>
      <c r="U2" s="122"/>
      <c r="V2" s="122"/>
      <c r="W2" s="122"/>
      <c r="X2" s="122"/>
      <c r="Y2" s="122"/>
      <c r="Z2" s="122"/>
      <c r="AA2" s="122"/>
    </row>
    <row r="3">
      <c r="A3" s="123" t="s">
        <v>45</v>
      </c>
      <c r="B3" s="123" t="s">
        <v>342</v>
      </c>
      <c r="C3" s="124">
        <v>4500.0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</row>
    <row r="4">
      <c r="A4" s="123" t="s">
        <v>50</v>
      </c>
      <c r="B4" s="125" t="s">
        <v>343</v>
      </c>
      <c r="C4" s="126">
        <v>7396.0</v>
      </c>
      <c r="D4" s="124"/>
      <c r="E4" s="124">
        <v>6.0</v>
      </c>
      <c r="F4" s="124"/>
      <c r="G4" s="124">
        <v>2.0</v>
      </c>
      <c r="H4" s="124"/>
      <c r="I4" s="124"/>
      <c r="J4" s="124"/>
      <c r="K4" s="124"/>
      <c r="L4" s="122"/>
      <c r="M4" s="122"/>
      <c r="N4" s="122"/>
      <c r="O4" s="123"/>
      <c r="P4" s="123"/>
      <c r="Q4" s="123"/>
      <c r="R4" s="123" t="s">
        <v>344</v>
      </c>
      <c r="S4" s="122"/>
      <c r="T4" s="122"/>
      <c r="U4" s="122"/>
      <c r="V4" s="122"/>
      <c r="W4" s="122"/>
      <c r="X4" s="122"/>
      <c r="Y4" s="122"/>
      <c r="Z4" s="122"/>
      <c r="AA4" s="122"/>
    </row>
    <row r="5">
      <c r="A5" s="123" t="s">
        <v>54</v>
      </c>
      <c r="B5" s="125" t="s">
        <v>343</v>
      </c>
      <c r="C5" s="126">
        <v>21490.0</v>
      </c>
      <c r="D5" s="124"/>
      <c r="E5" s="124">
        <v>15.0</v>
      </c>
      <c r="F5" s="124"/>
      <c r="G5" s="124">
        <v>5.0</v>
      </c>
      <c r="H5" s="124"/>
      <c r="I5" s="124"/>
      <c r="J5" s="124"/>
      <c r="K5" s="124"/>
      <c r="L5" s="122"/>
      <c r="M5" s="122"/>
      <c r="N5" s="122"/>
      <c r="O5" s="123"/>
      <c r="P5" s="123"/>
      <c r="Q5" s="123"/>
      <c r="R5" s="123" t="s">
        <v>345</v>
      </c>
      <c r="S5" s="122"/>
      <c r="T5" s="122"/>
      <c r="U5" s="122"/>
      <c r="V5" s="122"/>
      <c r="W5" s="122"/>
      <c r="X5" s="122"/>
      <c r="Y5" s="122"/>
      <c r="Z5" s="122"/>
      <c r="AA5" s="122"/>
    </row>
    <row r="6">
      <c r="A6" s="123" t="s">
        <v>346</v>
      </c>
      <c r="B6" s="123" t="s">
        <v>342</v>
      </c>
      <c r="C6" s="124">
        <v>4250.0</v>
      </c>
      <c r="D6" s="122"/>
      <c r="E6" s="122"/>
      <c r="F6" s="124"/>
      <c r="G6" s="124"/>
      <c r="H6" s="124"/>
      <c r="I6" s="124"/>
      <c r="J6" s="124"/>
      <c r="K6" s="124"/>
      <c r="L6" s="122"/>
      <c r="M6" s="122"/>
      <c r="N6" s="122"/>
      <c r="O6" s="122"/>
      <c r="P6" s="122"/>
      <c r="Q6" s="122"/>
      <c r="R6" s="122"/>
      <c r="S6" s="123" t="s">
        <v>347</v>
      </c>
      <c r="T6" s="122"/>
      <c r="U6" s="122"/>
      <c r="V6" s="122"/>
      <c r="W6" s="122"/>
      <c r="X6" s="122"/>
      <c r="Y6" s="122"/>
      <c r="Z6" s="122"/>
      <c r="AA6" s="122"/>
    </row>
    <row r="7">
      <c r="A7" s="123" t="s">
        <v>58</v>
      </c>
      <c r="B7" s="125" t="s">
        <v>343</v>
      </c>
      <c r="C7" s="126">
        <v>36980.0</v>
      </c>
      <c r="D7" s="124"/>
      <c r="E7" s="124">
        <v>30.0</v>
      </c>
      <c r="F7" s="124"/>
      <c r="G7" s="124">
        <v>10.0</v>
      </c>
      <c r="H7" s="124"/>
      <c r="I7" s="124"/>
      <c r="J7" s="124"/>
      <c r="K7" s="124"/>
      <c r="L7" s="122"/>
      <c r="M7" s="122"/>
      <c r="N7" s="122"/>
      <c r="O7" s="123"/>
      <c r="P7" s="123"/>
      <c r="Q7" s="123"/>
      <c r="R7" s="123" t="s">
        <v>348</v>
      </c>
      <c r="S7" s="123" t="s">
        <v>349</v>
      </c>
      <c r="T7" s="122"/>
      <c r="U7" s="122"/>
      <c r="V7" s="122"/>
      <c r="W7" s="122"/>
      <c r="X7" s="122"/>
      <c r="Y7" s="122"/>
      <c r="Z7" s="122"/>
      <c r="AA7" s="122"/>
    </row>
    <row r="8">
      <c r="A8" s="123" t="s">
        <v>60</v>
      </c>
      <c r="B8" s="123" t="s">
        <v>342</v>
      </c>
      <c r="C8" s="124">
        <v>2425.0</v>
      </c>
      <c r="D8" s="124"/>
      <c r="E8" s="124"/>
      <c r="F8" s="124"/>
      <c r="G8" s="124"/>
      <c r="H8" s="124"/>
      <c r="I8" s="124"/>
      <c r="J8" s="124"/>
      <c r="K8" s="124"/>
      <c r="L8" s="122"/>
      <c r="M8" s="122"/>
      <c r="N8" s="122"/>
      <c r="O8" s="123"/>
      <c r="P8" s="123"/>
      <c r="Q8" s="123"/>
      <c r="R8" s="123"/>
      <c r="S8" s="123"/>
      <c r="T8" s="122"/>
      <c r="U8" s="122"/>
      <c r="V8" s="122"/>
      <c r="W8" s="122"/>
      <c r="X8" s="122"/>
      <c r="Y8" s="122"/>
      <c r="Z8" s="122"/>
      <c r="AA8" s="122"/>
    </row>
    <row r="9">
      <c r="A9" s="127" t="s">
        <v>137</v>
      </c>
      <c r="B9" s="128" t="s">
        <v>350</v>
      </c>
      <c r="C9" s="129">
        <f>SUM(C2:C8)</f>
        <v>93041</v>
      </c>
      <c r="D9" s="130">
        <f>C9/E9</f>
        <v>1409.712121</v>
      </c>
      <c r="E9" s="130">
        <f>SUM(E2:E8)</f>
        <v>66</v>
      </c>
      <c r="F9" s="130">
        <v>12900.0</v>
      </c>
      <c r="G9" s="130">
        <f>SUM(G2:G8)</f>
        <v>21</v>
      </c>
      <c r="H9" s="130">
        <f>F9*G9</f>
        <v>270900</v>
      </c>
      <c r="I9" s="131">
        <f>(1000*G9)</f>
        <v>21000</v>
      </c>
      <c r="J9" s="131">
        <f>ROUND(F9*0.105,0)*G9</f>
        <v>28455</v>
      </c>
      <c r="K9" s="131">
        <f>(F9-1000-ROUND(F9*0.105,0))*G9</f>
        <v>221445</v>
      </c>
      <c r="L9" s="131">
        <f>K9*0.1</f>
        <v>22144.5</v>
      </c>
      <c r="M9" s="132">
        <f>ROUND((N9/H9),3) * 100</f>
        <v>39.2</v>
      </c>
      <c r="N9" s="131">
        <f>K9-L9-C9</f>
        <v>106259.5</v>
      </c>
      <c r="O9" s="128">
        <v>10.0</v>
      </c>
      <c r="P9" s="128">
        <v>1.0</v>
      </c>
      <c r="Q9" s="131">
        <f>G9-O9-P9</f>
        <v>10</v>
      </c>
      <c r="R9" s="133"/>
      <c r="S9" s="123" t="s">
        <v>351</v>
      </c>
      <c r="T9" s="122"/>
      <c r="U9" s="122"/>
      <c r="V9" s="122"/>
      <c r="W9" s="122"/>
      <c r="X9" s="122"/>
      <c r="Y9" s="122"/>
      <c r="Z9" s="122"/>
      <c r="AA9" s="122"/>
    </row>
    <row r="10">
      <c r="A10" s="123" t="s">
        <v>82</v>
      </c>
      <c r="B10" s="123" t="s">
        <v>340</v>
      </c>
      <c r="C10" s="124">
        <v>14000.0</v>
      </c>
      <c r="D10" s="122"/>
      <c r="E10" s="123">
        <v>200.0</v>
      </c>
      <c r="F10" s="122"/>
      <c r="G10" s="123">
        <v>5.0</v>
      </c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3" t="s">
        <v>352</v>
      </c>
      <c r="S10" s="122"/>
      <c r="T10" s="122"/>
      <c r="U10" s="122"/>
      <c r="V10" s="122"/>
      <c r="W10" s="122"/>
      <c r="X10" s="122"/>
      <c r="Y10" s="122"/>
      <c r="Z10" s="122"/>
      <c r="AA10" s="122"/>
    </row>
    <row r="11">
      <c r="A11" s="123" t="s">
        <v>82</v>
      </c>
      <c r="B11" s="123" t="s">
        <v>353</v>
      </c>
      <c r="C11" s="124">
        <f>140*5</f>
        <v>700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  <c r="P11" s="123"/>
      <c r="Q11" s="123"/>
      <c r="R11" s="123" t="s">
        <v>354</v>
      </c>
      <c r="S11" s="122"/>
      <c r="T11" s="122"/>
      <c r="U11" s="122"/>
      <c r="V11" s="122"/>
      <c r="W11" s="122"/>
      <c r="X11" s="122"/>
      <c r="Y11" s="122"/>
      <c r="Z11" s="122"/>
      <c r="AA11" s="122"/>
    </row>
    <row r="12">
      <c r="A12" s="123" t="s">
        <v>51</v>
      </c>
      <c r="B12" s="123" t="s">
        <v>342</v>
      </c>
      <c r="C12" s="124">
        <v>1100.0</v>
      </c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3"/>
      <c r="P12" s="123"/>
      <c r="Q12" s="123"/>
      <c r="R12" s="123"/>
      <c r="S12" s="122"/>
      <c r="T12" s="122"/>
      <c r="U12" s="122"/>
      <c r="V12" s="122"/>
      <c r="W12" s="122"/>
      <c r="X12" s="122"/>
      <c r="Y12" s="122"/>
      <c r="Z12" s="122"/>
      <c r="AA12" s="122"/>
    </row>
    <row r="13">
      <c r="A13" s="127" t="s">
        <v>137</v>
      </c>
      <c r="B13" s="128" t="s">
        <v>355</v>
      </c>
      <c r="C13" s="134">
        <f>SUM(C10:C12)</f>
        <v>15800</v>
      </c>
      <c r="D13" s="130">
        <f>C13/E13</f>
        <v>79</v>
      </c>
      <c r="E13" s="130">
        <f>SUM(E10:E12)</f>
        <v>200</v>
      </c>
      <c r="F13" s="130">
        <v>6500.0</v>
      </c>
      <c r="G13" s="130">
        <f>SUM(G10:G12)</f>
        <v>5</v>
      </c>
      <c r="H13" s="130">
        <f>F13*G13</f>
        <v>32500</v>
      </c>
      <c r="I13" s="131">
        <f>(1000*G13)</f>
        <v>5000</v>
      </c>
      <c r="J13" s="131">
        <f>ROUND(F13*0.105,0)*G13</f>
        <v>3415</v>
      </c>
      <c r="K13" s="131">
        <f>(F13-1000-ROUND(F13*0.105,0))*G13</f>
        <v>24085</v>
      </c>
      <c r="L13" s="131">
        <f>K13*0.1</f>
        <v>2408.5</v>
      </c>
      <c r="M13" s="132">
        <f>ROUND((N13/H13),3) * 100</f>
        <v>18.1</v>
      </c>
      <c r="N13" s="131">
        <f>K13-L13-C13</f>
        <v>5876.5</v>
      </c>
      <c r="O13" s="128">
        <v>1.0</v>
      </c>
      <c r="P13" s="128">
        <v>0.0</v>
      </c>
      <c r="Q13" s="131">
        <f>G13-O13-P13</f>
        <v>4</v>
      </c>
      <c r="R13" s="135"/>
      <c r="S13" s="122"/>
      <c r="T13" s="122"/>
      <c r="U13" s="122"/>
      <c r="V13" s="122"/>
      <c r="W13" s="122"/>
      <c r="X13" s="122"/>
      <c r="Y13" s="122"/>
      <c r="Z13" s="122"/>
      <c r="AA13" s="122"/>
    </row>
    <row r="14">
      <c r="A14" s="123" t="s">
        <v>85</v>
      </c>
      <c r="B14" s="123" t="s">
        <v>340</v>
      </c>
      <c r="C14" s="124">
        <v>23280.0</v>
      </c>
      <c r="D14" s="123"/>
      <c r="E14" s="123">
        <v>12.0</v>
      </c>
      <c r="F14" s="123"/>
      <c r="G14" s="123">
        <v>3.0</v>
      </c>
      <c r="H14" s="123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>
      <c r="A15" s="123" t="s">
        <v>50</v>
      </c>
      <c r="B15" s="123" t="s">
        <v>6</v>
      </c>
      <c r="C15" s="124">
        <f>98*3</f>
        <v>294</v>
      </c>
      <c r="D15" s="124"/>
      <c r="E15" s="124"/>
      <c r="F15" s="124"/>
      <c r="G15" s="124"/>
      <c r="H15" s="124"/>
      <c r="I15" s="124"/>
      <c r="J15" s="124"/>
      <c r="K15" s="124"/>
      <c r="L15" s="122"/>
      <c r="M15" s="122"/>
      <c r="N15" s="122"/>
      <c r="O15" s="123"/>
      <c r="P15" s="123"/>
      <c r="Q15" s="123"/>
      <c r="R15" s="123" t="s">
        <v>356</v>
      </c>
      <c r="S15" s="123" t="s">
        <v>357</v>
      </c>
      <c r="T15" s="123"/>
      <c r="U15" s="123"/>
      <c r="V15" s="124"/>
      <c r="W15" s="122"/>
      <c r="X15" s="122"/>
      <c r="Y15" s="122"/>
      <c r="Z15" s="122"/>
      <c r="AA15" s="122"/>
    </row>
    <row r="16">
      <c r="A16" s="123" t="s">
        <v>51</v>
      </c>
      <c r="B16" s="123" t="s">
        <v>342</v>
      </c>
      <c r="C16" s="124">
        <v>1200.0</v>
      </c>
      <c r="D16" s="124"/>
      <c r="E16" s="124"/>
      <c r="F16" s="124"/>
      <c r="G16" s="124"/>
      <c r="H16" s="124"/>
      <c r="I16" s="124"/>
      <c r="J16" s="124"/>
      <c r="K16" s="124"/>
      <c r="L16" s="122"/>
      <c r="M16" s="122"/>
      <c r="N16" s="122"/>
      <c r="O16" s="123"/>
      <c r="P16" s="123"/>
      <c r="Q16" s="123"/>
      <c r="R16" s="123"/>
      <c r="S16" s="123"/>
      <c r="T16" s="123"/>
      <c r="U16" s="123"/>
      <c r="V16" s="124"/>
      <c r="W16" s="122"/>
      <c r="X16" s="122"/>
      <c r="Y16" s="122"/>
      <c r="Z16" s="122"/>
      <c r="AA16" s="122"/>
    </row>
    <row r="17">
      <c r="A17" s="136" t="s">
        <v>137</v>
      </c>
      <c r="B17" s="137" t="s">
        <v>358</v>
      </c>
      <c r="C17" s="138">
        <f>SUM(C14:C16)</f>
        <v>24774</v>
      </c>
      <c r="D17" s="139">
        <f>C17/E17</f>
        <v>2064.5</v>
      </c>
      <c r="E17" s="139">
        <f>SUM(E14:E16)</f>
        <v>12</v>
      </c>
      <c r="F17" s="139">
        <v>16500.0</v>
      </c>
      <c r="G17" s="139">
        <f>SUM(G14:G16)</f>
        <v>3</v>
      </c>
      <c r="H17" s="139">
        <f>F17*G17</f>
        <v>49500</v>
      </c>
      <c r="I17" s="140">
        <f>(1000*G17)</f>
        <v>3000</v>
      </c>
      <c r="J17" s="140">
        <f>ROUND(F17*0.105,0)*G17</f>
        <v>5199</v>
      </c>
      <c r="K17" s="140">
        <f>(F17-1000-ROUND(F17*0.105,0))*G17</f>
        <v>41301</v>
      </c>
      <c r="L17" s="140">
        <f>K17*0.1</f>
        <v>4130.1</v>
      </c>
      <c r="M17" s="141">
        <f>ROUND((N17/H17),3) * 100</f>
        <v>25</v>
      </c>
      <c r="N17" s="140">
        <f>K17-L17-C17</f>
        <v>12396.9</v>
      </c>
      <c r="O17" s="137">
        <v>3.0</v>
      </c>
      <c r="P17" s="137">
        <v>0.0</v>
      </c>
      <c r="Q17" s="140">
        <f>G17-O17-P17</f>
        <v>0</v>
      </c>
      <c r="R17" s="142"/>
      <c r="S17" s="122"/>
      <c r="T17" s="122"/>
      <c r="U17" s="122"/>
      <c r="V17" s="122"/>
      <c r="W17" s="122"/>
      <c r="X17" s="122"/>
      <c r="Y17" s="122"/>
      <c r="Z17" s="122"/>
      <c r="AA17" s="122"/>
    </row>
    <row r="18">
      <c r="A18" s="123" t="s">
        <v>85</v>
      </c>
      <c r="B18" s="123" t="s">
        <v>340</v>
      </c>
      <c r="C18" s="124">
        <v>19800.0</v>
      </c>
      <c r="D18" s="123"/>
      <c r="E18" s="123">
        <v>21.0</v>
      </c>
      <c r="F18" s="123"/>
      <c r="G18" s="123">
        <v>4.0</v>
      </c>
      <c r="H18" s="123"/>
      <c r="I18" s="122"/>
      <c r="J18" s="122"/>
      <c r="K18" s="122"/>
      <c r="L18" s="122"/>
      <c r="M18" s="122"/>
      <c r="N18" s="122"/>
      <c r="O18" s="122"/>
      <c r="P18" s="122"/>
      <c r="Q18" s="122"/>
      <c r="R18" s="123" t="s">
        <v>359</v>
      </c>
      <c r="S18" s="122"/>
      <c r="T18" s="122"/>
      <c r="U18" s="122"/>
      <c r="V18" s="122"/>
      <c r="W18" s="122"/>
      <c r="X18" s="122"/>
      <c r="Y18" s="122"/>
      <c r="Z18" s="122"/>
      <c r="AA18" s="122"/>
    </row>
    <row r="19">
      <c r="A19" s="123" t="s">
        <v>50</v>
      </c>
      <c r="B19" s="123" t="s">
        <v>6</v>
      </c>
      <c r="C19" s="124">
        <f>98*4</f>
        <v>392</v>
      </c>
      <c r="D19" s="124"/>
      <c r="E19" s="124"/>
      <c r="F19" s="124"/>
      <c r="G19" s="124"/>
      <c r="H19" s="124"/>
      <c r="I19" s="124"/>
      <c r="J19" s="124"/>
      <c r="K19" s="124"/>
      <c r="L19" s="122"/>
      <c r="M19" s="122"/>
      <c r="N19" s="122"/>
      <c r="O19" s="123"/>
      <c r="P19" s="123"/>
      <c r="Q19" s="123"/>
      <c r="R19" s="123" t="s">
        <v>345</v>
      </c>
      <c r="S19" s="122"/>
      <c r="T19" s="122"/>
      <c r="U19" s="122"/>
      <c r="V19" s="122"/>
      <c r="W19" s="122"/>
      <c r="X19" s="122"/>
      <c r="Y19" s="122"/>
      <c r="Z19" s="122"/>
      <c r="AA19" s="122"/>
    </row>
    <row r="20">
      <c r="A20" s="123" t="s">
        <v>51</v>
      </c>
      <c r="B20" s="123" t="s">
        <v>342</v>
      </c>
      <c r="C20" s="124">
        <v>1950.0</v>
      </c>
      <c r="D20" s="124"/>
      <c r="E20" s="124"/>
      <c r="F20" s="124"/>
      <c r="G20" s="124"/>
      <c r="H20" s="124"/>
      <c r="I20" s="124"/>
      <c r="J20" s="124"/>
      <c r="K20" s="124"/>
      <c r="L20" s="122"/>
      <c r="M20" s="122"/>
      <c r="N20" s="122"/>
      <c r="O20" s="123"/>
      <c r="P20" s="123"/>
      <c r="Q20" s="123"/>
      <c r="R20" s="123"/>
      <c r="S20" s="122"/>
      <c r="T20" s="122"/>
      <c r="U20" s="122"/>
      <c r="V20" s="122"/>
      <c r="W20" s="122"/>
      <c r="X20" s="122"/>
      <c r="Y20" s="122"/>
      <c r="Z20" s="122"/>
      <c r="AA20" s="122"/>
    </row>
    <row r="21">
      <c r="A21" s="127" t="s">
        <v>137</v>
      </c>
      <c r="B21" s="128" t="s">
        <v>360</v>
      </c>
      <c r="C21" s="134">
        <f>SUM(C18:C20)</f>
        <v>22142</v>
      </c>
      <c r="D21" s="130">
        <f>Round(C21/E21,0)</f>
        <v>1054</v>
      </c>
      <c r="E21" s="130">
        <v>21.0</v>
      </c>
      <c r="F21" s="130">
        <v>9500.0</v>
      </c>
      <c r="G21" s="130">
        <f>SUM(G18:G20)</f>
        <v>4</v>
      </c>
      <c r="H21" s="130">
        <f>F21*G21</f>
        <v>38000</v>
      </c>
      <c r="I21" s="131"/>
      <c r="J21" s="131">
        <f>ROUND(F21*0.105,0)*G21</f>
        <v>3992</v>
      </c>
      <c r="K21" s="131">
        <f>(F21-100-ROUND(F21*0.105,0))*G21</f>
        <v>33608</v>
      </c>
      <c r="L21" s="131">
        <f>K21*0.1</f>
        <v>3360.8</v>
      </c>
      <c r="M21" s="132">
        <f>ROUND((N21/H21),3) * 100</f>
        <v>21.3</v>
      </c>
      <c r="N21" s="131">
        <f>K21-L21-C21</f>
        <v>8105.2</v>
      </c>
      <c r="O21" s="128">
        <v>0.0</v>
      </c>
      <c r="P21" s="128">
        <v>0.0</v>
      </c>
      <c r="Q21" s="131">
        <f>G21-O21-P21</f>
        <v>4</v>
      </c>
      <c r="R21" s="133"/>
      <c r="S21" s="123" t="s">
        <v>361</v>
      </c>
      <c r="T21" s="122"/>
      <c r="U21" s="122"/>
      <c r="V21" s="122"/>
      <c r="W21" s="122"/>
      <c r="X21" s="122"/>
      <c r="Y21" s="122"/>
      <c r="Z21" s="122"/>
      <c r="AA21" s="122"/>
    </row>
    <row r="22">
      <c r="A22" s="123" t="s">
        <v>85</v>
      </c>
      <c r="B22" s="123" t="s">
        <v>340</v>
      </c>
      <c r="C22" s="124">
        <v>19200.0</v>
      </c>
      <c r="D22" s="123"/>
      <c r="E22" s="123">
        <v>12.0</v>
      </c>
      <c r="F22" s="123"/>
      <c r="G22" s="123">
        <v>4.0</v>
      </c>
      <c r="H22" s="123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>
      <c r="A23" s="123" t="s">
        <v>50</v>
      </c>
      <c r="B23" s="123" t="s">
        <v>6</v>
      </c>
      <c r="C23" s="124">
        <f>83*4</f>
        <v>332</v>
      </c>
      <c r="D23" s="124"/>
      <c r="E23" s="124"/>
      <c r="F23" s="124"/>
      <c r="G23" s="124"/>
      <c r="H23" s="124"/>
      <c r="I23" s="124"/>
      <c r="J23" s="124"/>
      <c r="K23" s="124"/>
      <c r="L23" s="122"/>
      <c r="M23" s="122"/>
      <c r="N23" s="122"/>
      <c r="O23" s="123"/>
      <c r="P23" s="123"/>
      <c r="Q23" s="123"/>
      <c r="R23" s="123" t="s">
        <v>362</v>
      </c>
      <c r="S23" s="122"/>
      <c r="T23" s="122"/>
      <c r="U23" s="122"/>
      <c r="V23" s="122"/>
      <c r="W23" s="122"/>
      <c r="X23" s="122"/>
      <c r="Y23" s="122"/>
      <c r="Z23" s="122"/>
      <c r="AA23" s="122"/>
    </row>
    <row r="24">
      <c r="A24" s="123" t="s">
        <v>60</v>
      </c>
      <c r="B24" s="123" t="s">
        <v>342</v>
      </c>
      <c r="C24" s="124">
        <v>2425.0</v>
      </c>
      <c r="D24" s="124"/>
      <c r="E24" s="124"/>
      <c r="F24" s="124"/>
      <c r="G24" s="124"/>
      <c r="H24" s="124"/>
      <c r="I24" s="124"/>
      <c r="J24" s="124"/>
      <c r="K24" s="124"/>
      <c r="L24" s="122"/>
      <c r="M24" s="122"/>
      <c r="N24" s="122"/>
      <c r="O24" s="123"/>
      <c r="P24" s="123"/>
      <c r="Q24" s="123"/>
      <c r="R24" s="123"/>
      <c r="S24" s="122"/>
      <c r="T24" s="122"/>
      <c r="U24" s="122"/>
      <c r="V24" s="122"/>
      <c r="W24" s="122"/>
      <c r="X24" s="122"/>
      <c r="Y24" s="122"/>
      <c r="Z24" s="122"/>
      <c r="AA24" s="122"/>
    </row>
    <row r="25">
      <c r="A25" s="127" t="s">
        <v>137</v>
      </c>
      <c r="B25" s="128" t="s">
        <v>363</v>
      </c>
      <c r="C25" s="134">
        <f>SUM(C22:C24)</f>
        <v>21957</v>
      </c>
      <c r="D25" s="130">
        <f>Round(C25/E25,0)</f>
        <v>1830</v>
      </c>
      <c r="E25" s="130">
        <v>12.0</v>
      </c>
      <c r="F25" s="130">
        <v>14900.0</v>
      </c>
      <c r="G25" s="130">
        <f>SUM(G22:G24)</f>
        <v>4</v>
      </c>
      <c r="H25" s="130">
        <f>F25*G25</f>
        <v>59600</v>
      </c>
      <c r="I25" s="131">
        <f>(1000*G25)</f>
        <v>4000</v>
      </c>
      <c r="J25" s="131">
        <f>ROUND(F25*0.105,0)*G25</f>
        <v>6260</v>
      </c>
      <c r="K25" s="131">
        <f>(F25-1000-ROUND(F25*0.105,0))*G25</f>
        <v>49340</v>
      </c>
      <c r="L25" s="131">
        <f>K25*0.1</f>
        <v>4934</v>
      </c>
      <c r="M25" s="132">
        <f>ROUND((N25/H25),3) * 100</f>
        <v>37.7</v>
      </c>
      <c r="N25" s="131">
        <f>K25-L25-C25</f>
        <v>22449</v>
      </c>
      <c r="O25" s="128">
        <v>0.0</v>
      </c>
      <c r="P25" s="128">
        <v>0.0</v>
      </c>
      <c r="Q25" s="131">
        <f>G25-O25-P25</f>
        <v>4</v>
      </c>
      <c r="R25" s="133"/>
      <c r="S25" s="122"/>
      <c r="T25" s="122"/>
      <c r="U25" s="122"/>
      <c r="V25" s="122"/>
      <c r="W25" s="122"/>
      <c r="X25" s="122"/>
      <c r="Y25" s="122"/>
      <c r="Z25" s="122"/>
      <c r="AA25" s="122"/>
    </row>
    <row r="26">
      <c r="A26" s="123" t="s">
        <v>85</v>
      </c>
      <c r="B26" s="123" t="s">
        <v>340</v>
      </c>
      <c r="C26" s="124">
        <v>39600.0</v>
      </c>
      <c r="D26" s="123"/>
      <c r="E26" s="123">
        <v>13.0</v>
      </c>
      <c r="F26" s="123"/>
      <c r="G26" s="123">
        <v>6.0</v>
      </c>
      <c r="H26" s="123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</row>
    <row r="27">
      <c r="A27" s="123" t="s">
        <v>50</v>
      </c>
      <c r="B27" s="123" t="s">
        <v>6</v>
      </c>
      <c r="C27" s="124">
        <f>83*6</f>
        <v>498</v>
      </c>
      <c r="D27" s="124"/>
      <c r="E27" s="124"/>
      <c r="F27" s="124"/>
      <c r="G27" s="124"/>
      <c r="H27" s="124"/>
      <c r="I27" s="124"/>
      <c r="J27" s="124"/>
      <c r="K27" s="124"/>
      <c r="L27" s="122"/>
      <c r="M27" s="122"/>
      <c r="N27" s="122"/>
      <c r="O27" s="123"/>
      <c r="P27" s="123"/>
      <c r="Q27" s="123"/>
      <c r="R27" s="123" t="s">
        <v>364</v>
      </c>
      <c r="S27" s="122"/>
      <c r="T27" s="122"/>
      <c r="U27" s="122"/>
      <c r="V27" s="122"/>
      <c r="W27" s="122"/>
      <c r="X27" s="122"/>
      <c r="Y27" s="122"/>
      <c r="Z27" s="122"/>
      <c r="AA27" s="122"/>
    </row>
    <row r="28">
      <c r="A28" s="123"/>
      <c r="B28" s="123" t="s">
        <v>365</v>
      </c>
      <c r="C28" s="124">
        <v>2425.0</v>
      </c>
      <c r="D28" s="124"/>
      <c r="E28" s="124"/>
      <c r="F28" s="124"/>
      <c r="G28" s="124"/>
      <c r="H28" s="124"/>
      <c r="I28" s="124"/>
      <c r="J28" s="124"/>
      <c r="K28" s="124"/>
      <c r="L28" s="122"/>
      <c r="M28" s="122"/>
      <c r="N28" s="122"/>
      <c r="O28" s="123"/>
      <c r="P28" s="123"/>
      <c r="Q28" s="123"/>
      <c r="R28" s="123"/>
      <c r="S28" s="122"/>
      <c r="T28" s="122"/>
      <c r="U28" s="122"/>
      <c r="V28" s="122"/>
      <c r="W28" s="122"/>
      <c r="X28" s="122"/>
      <c r="Y28" s="122"/>
      <c r="Z28" s="122"/>
      <c r="AA28" s="122"/>
    </row>
    <row r="29">
      <c r="A29" s="127" t="s">
        <v>137</v>
      </c>
      <c r="B29" s="128" t="s">
        <v>366</v>
      </c>
      <c r="C29" s="134">
        <f>SUM(C26:C28)</f>
        <v>42523</v>
      </c>
      <c r="D29" s="130">
        <f>Round(C29/E29,0)</f>
        <v>3271</v>
      </c>
      <c r="E29" s="130">
        <f>SUM(E26:E28)</f>
        <v>13</v>
      </c>
      <c r="F29" s="130">
        <v>20800.0</v>
      </c>
      <c r="G29" s="130">
        <f>SUM(G26:G28)</f>
        <v>6</v>
      </c>
      <c r="H29" s="130">
        <f>F29*G29</f>
        <v>124800</v>
      </c>
      <c r="I29" s="131">
        <f>(1000*G29)</f>
        <v>6000</v>
      </c>
      <c r="J29" s="131">
        <f>ROUND(F29*0.105,0)*G29</f>
        <v>13104</v>
      </c>
      <c r="K29" s="131">
        <f>(F29-1000-ROUND(F29*0.105,0))*G29</f>
        <v>105696</v>
      </c>
      <c r="L29" s="131">
        <f>K29*0.1</f>
        <v>10569.6</v>
      </c>
      <c r="M29" s="132">
        <f>ROUND((N29/H29),3) * 100</f>
        <v>42.2</v>
      </c>
      <c r="N29" s="131">
        <f>K29-L29-C29</f>
        <v>52603.4</v>
      </c>
      <c r="O29" s="128">
        <v>0.0</v>
      </c>
      <c r="P29" s="128">
        <v>0.0</v>
      </c>
      <c r="Q29" s="131">
        <f>G29-O29-P29</f>
        <v>6</v>
      </c>
      <c r="R29" s="133"/>
      <c r="S29" s="123" t="s">
        <v>367</v>
      </c>
      <c r="T29" s="122"/>
      <c r="U29" s="122"/>
      <c r="V29" s="122"/>
      <c r="W29" s="122"/>
      <c r="X29" s="122"/>
      <c r="Y29" s="122"/>
      <c r="Z29" s="122"/>
      <c r="AA29" s="122"/>
    </row>
    <row r="30">
      <c r="A30" s="123" t="s">
        <v>107</v>
      </c>
      <c r="B30" s="123" t="s">
        <v>340</v>
      </c>
      <c r="C30" s="124">
        <v>34356.0</v>
      </c>
      <c r="D30" s="123"/>
      <c r="E30" s="123">
        <v>32.0</v>
      </c>
      <c r="F30" s="123"/>
      <c r="G30" s="122"/>
      <c r="H30" s="123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</row>
    <row r="31">
      <c r="A31" s="123" t="s">
        <v>50</v>
      </c>
      <c r="B31" s="123" t="s">
        <v>6</v>
      </c>
      <c r="C31" s="124">
        <f>98*4</f>
        <v>392</v>
      </c>
      <c r="D31" s="124"/>
      <c r="E31" s="124"/>
      <c r="F31" s="124"/>
      <c r="G31" s="124"/>
      <c r="H31" s="124"/>
      <c r="I31" s="124"/>
      <c r="J31" s="124"/>
      <c r="K31" s="124"/>
      <c r="L31" s="122"/>
      <c r="M31" s="122"/>
      <c r="N31" s="122"/>
      <c r="O31" s="123"/>
      <c r="P31" s="123"/>
      <c r="Q31" s="123"/>
      <c r="R31" s="123" t="s">
        <v>368</v>
      </c>
      <c r="S31" s="122"/>
      <c r="T31" s="122"/>
      <c r="U31" s="122"/>
      <c r="V31" s="122"/>
      <c r="W31" s="122"/>
      <c r="X31" s="122"/>
      <c r="Y31" s="122"/>
      <c r="Z31" s="122"/>
      <c r="AA31" s="122"/>
    </row>
    <row r="32">
      <c r="A32" s="123"/>
      <c r="B32" s="123" t="s">
        <v>365</v>
      </c>
      <c r="C32" s="124">
        <v>2425.0</v>
      </c>
      <c r="D32" s="124"/>
      <c r="E32" s="124"/>
      <c r="F32" s="124"/>
      <c r="G32" s="124"/>
      <c r="H32" s="124"/>
      <c r="I32" s="124"/>
      <c r="J32" s="124"/>
      <c r="K32" s="124"/>
      <c r="L32" s="122"/>
      <c r="M32" s="122"/>
      <c r="N32" s="122"/>
      <c r="O32" s="123"/>
      <c r="P32" s="123"/>
      <c r="Q32" s="123"/>
      <c r="R32" s="123"/>
      <c r="S32" s="122"/>
      <c r="T32" s="122"/>
      <c r="U32" s="122"/>
      <c r="V32" s="122"/>
      <c r="W32" s="122"/>
      <c r="X32" s="122"/>
      <c r="Y32" s="122"/>
      <c r="Z32" s="122"/>
      <c r="AA32" s="122"/>
    </row>
    <row r="33">
      <c r="A33" s="143" t="s">
        <v>137</v>
      </c>
      <c r="B33" s="144" t="s">
        <v>369</v>
      </c>
      <c r="C33" s="145">
        <f>SUM(C30:C32)</f>
        <v>37173</v>
      </c>
      <c r="D33" s="130">
        <f>Round(C33/E33,0)</f>
        <v>1162</v>
      </c>
      <c r="E33" s="146">
        <f>SUM(E30:E32)</f>
        <v>32</v>
      </c>
      <c r="F33" s="130">
        <v>19800.0</v>
      </c>
      <c r="G33" s="130">
        <v>4.0</v>
      </c>
      <c r="H33" s="130">
        <f>F33*G33</f>
        <v>79200</v>
      </c>
      <c r="I33" s="131">
        <f>(1000*G33)</f>
        <v>4000</v>
      </c>
      <c r="J33" s="131">
        <f>ROUND(F33*0.105,0)*G33</f>
        <v>8316</v>
      </c>
      <c r="K33" s="131">
        <f>(F33-1000-ROUND(F33*0.105,0))*G33</f>
        <v>66884</v>
      </c>
      <c r="L33" s="131">
        <f>K33*0.1</f>
        <v>6688.4</v>
      </c>
      <c r="M33" s="132">
        <f t="shared" ref="M33:M34" si="2">ROUND((N33/H33),3) * 100</f>
        <v>29.1</v>
      </c>
      <c r="N33" s="131">
        <f t="shared" ref="N33:N34" si="3">K33-L33-C33</f>
        <v>23022.6</v>
      </c>
      <c r="O33" s="128">
        <v>0.0</v>
      </c>
      <c r="P33" s="128">
        <v>0.0</v>
      </c>
      <c r="Q33" s="131">
        <f>G33-O33-P33</f>
        <v>4</v>
      </c>
      <c r="R33" s="147"/>
      <c r="S33" s="123" t="s">
        <v>370</v>
      </c>
      <c r="T33" s="122"/>
      <c r="U33" s="122"/>
      <c r="V33" s="122"/>
      <c r="W33" s="122"/>
      <c r="X33" s="122"/>
      <c r="Y33" s="122"/>
      <c r="Z33" s="122"/>
      <c r="AA33" s="122"/>
    </row>
    <row r="34">
      <c r="A34" s="148" t="s">
        <v>371</v>
      </c>
      <c r="B34" s="149"/>
      <c r="C34" s="150">
        <f>SUM(C9,C13,C17,C21,C25,C29,C33)</f>
        <v>257410</v>
      </c>
      <c r="D34" s="149"/>
      <c r="E34" s="149"/>
      <c r="F34" s="149"/>
      <c r="G34" s="151">
        <f t="shared" ref="G34:L34" si="1">SUM(G9,G13,G17,G21,G25,G29,G33)</f>
        <v>47</v>
      </c>
      <c r="H34" s="151">
        <f t="shared" si="1"/>
        <v>654500</v>
      </c>
      <c r="I34" s="151">
        <f t="shared" si="1"/>
        <v>43000</v>
      </c>
      <c r="J34" s="151">
        <f t="shared" si="1"/>
        <v>68741</v>
      </c>
      <c r="K34" s="151">
        <f t="shared" si="1"/>
        <v>542359</v>
      </c>
      <c r="L34" s="151">
        <f t="shared" si="1"/>
        <v>54235.9</v>
      </c>
      <c r="M34" s="149">
        <f t="shared" si="2"/>
        <v>35.3</v>
      </c>
      <c r="N34" s="151">
        <f t="shared" si="3"/>
        <v>230713.1</v>
      </c>
      <c r="O34" s="149"/>
      <c r="P34" s="149"/>
      <c r="Q34" s="149"/>
      <c r="R34" s="149"/>
      <c r="S34" s="122"/>
      <c r="T34" s="122"/>
      <c r="U34" s="122"/>
      <c r="V34" s="122"/>
      <c r="W34" s="122"/>
      <c r="X34" s="122"/>
      <c r="Y34" s="122"/>
      <c r="Z34" s="122"/>
      <c r="AA34" s="122"/>
    </row>
    <row r="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</row>
    <row r="3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</row>
    <row r="37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</row>
    <row r="38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</row>
    <row r="40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</row>
    <row r="4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</row>
    <row r="4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</row>
    <row r="4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</row>
    <row r="44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</row>
    <row r="4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</row>
    <row r="994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</row>
    <row r="996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</row>
    <row r="998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</row>
    <row r="999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</row>
    <row r="1000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</row>
    <row r="1001">
      <c r="A1001" s="122"/>
      <c r="B1001" s="122"/>
      <c r="C1001" s="122"/>
      <c r="D1001" s="122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</row>
    <row r="1002">
      <c r="A1002" s="122"/>
      <c r="B1002" s="122"/>
      <c r="C1002" s="122"/>
      <c r="D1002" s="122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  <c r="AA1002" s="122"/>
    </row>
    <row r="1003">
      <c r="A1003" s="122"/>
      <c r="B1003" s="122"/>
      <c r="C1003" s="122"/>
      <c r="D1003" s="122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  <c r="AA1003" s="122"/>
    </row>
    <row r="1004">
      <c r="A1004" s="122"/>
      <c r="B1004" s="122"/>
      <c r="C1004" s="122"/>
      <c r="D1004" s="122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  <c r="AA1004" s="122"/>
    </row>
    <row r="1005">
      <c r="A1005" s="122"/>
      <c r="B1005" s="122"/>
      <c r="C1005" s="122"/>
      <c r="D1005" s="122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  <c r="AA1005" s="122"/>
    </row>
    <row r="1006">
      <c r="A1006" s="122"/>
      <c r="B1006" s="122"/>
      <c r="C1006" s="122"/>
      <c r="D1006" s="122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  <c r="AA1006" s="122"/>
    </row>
    <row r="1007">
      <c r="A1007" s="122"/>
      <c r="B1007" s="122"/>
      <c r="C1007" s="122"/>
      <c r="D1007" s="122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  <c r="AA1007" s="122"/>
    </row>
    <row r="1008">
      <c r="A1008" s="122"/>
      <c r="B1008" s="122"/>
      <c r="C1008" s="122"/>
      <c r="D1008" s="122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  <c r="AA1008" s="122"/>
    </row>
    <row r="1009">
      <c r="A1009" s="122"/>
      <c r="B1009" s="122"/>
      <c r="C1009" s="122"/>
      <c r="D1009" s="122"/>
      <c r="E1009" s="122"/>
      <c r="F1009" s="122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  <c r="AA1009" s="122"/>
    </row>
    <row r="1010">
      <c r="A1010" s="122"/>
      <c r="B1010" s="122"/>
      <c r="C1010" s="122"/>
      <c r="D1010" s="122"/>
      <c r="E1010" s="122"/>
      <c r="F1010" s="122"/>
      <c r="G1010" s="12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  <c r="AA1010" s="122"/>
    </row>
    <row r="1011">
      <c r="A1011" s="122"/>
      <c r="B1011" s="122"/>
      <c r="C1011" s="122"/>
      <c r="D1011" s="122"/>
      <c r="E1011" s="122"/>
      <c r="F1011" s="122"/>
      <c r="G1011" s="12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  <c r="AA1011" s="122"/>
    </row>
    <row r="1012">
      <c r="A1012" s="122"/>
      <c r="B1012" s="122"/>
      <c r="C1012" s="122"/>
      <c r="D1012" s="122"/>
      <c r="E1012" s="122"/>
      <c r="F1012" s="122"/>
      <c r="G1012" s="12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  <c r="AA1012" s="122"/>
    </row>
    <row r="1013">
      <c r="A1013" s="122"/>
      <c r="B1013" s="122"/>
      <c r="C1013" s="122"/>
      <c r="D1013" s="122"/>
      <c r="E1013" s="122"/>
      <c r="F1013" s="122"/>
      <c r="G1013" s="12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  <c r="AA1013" s="122"/>
    </row>
    <row r="1014">
      <c r="A1014" s="122"/>
      <c r="B1014" s="122"/>
      <c r="C1014" s="122"/>
      <c r="D1014" s="122"/>
      <c r="E1014" s="122"/>
      <c r="F1014" s="122"/>
      <c r="G1014" s="122"/>
      <c r="H1014" s="122"/>
      <c r="I1014" s="122"/>
      <c r="J1014" s="122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2"/>
      <c r="Y1014" s="122"/>
      <c r="Z1014" s="122"/>
      <c r="AA1014" s="122"/>
    </row>
    <row r="1015">
      <c r="A1015" s="122"/>
      <c r="B1015" s="122"/>
      <c r="C1015" s="122"/>
      <c r="D1015" s="122"/>
      <c r="E1015" s="122"/>
      <c r="F1015" s="122"/>
      <c r="G1015" s="122"/>
      <c r="H1015" s="122"/>
      <c r="I1015" s="122"/>
      <c r="J1015" s="122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2"/>
      <c r="Y1015" s="122"/>
      <c r="Z1015" s="122"/>
      <c r="AA1015" s="122"/>
    </row>
    <row r="1016">
      <c r="A1016" s="122"/>
      <c r="B1016" s="122"/>
      <c r="C1016" s="122"/>
      <c r="D1016" s="122"/>
      <c r="E1016" s="122"/>
      <c r="F1016" s="122"/>
      <c r="G1016" s="122"/>
      <c r="H1016" s="122"/>
      <c r="I1016" s="122"/>
      <c r="J1016" s="122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2"/>
      <c r="Y1016" s="122"/>
      <c r="Z1016" s="122"/>
      <c r="AA1016" s="122"/>
    </row>
    <row r="1017">
      <c r="A1017" s="122"/>
      <c r="B1017" s="122"/>
      <c r="C1017" s="122"/>
      <c r="D1017" s="122"/>
      <c r="E1017" s="122"/>
      <c r="F1017" s="122"/>
      <c r="G1017" s="122"/>
      <c r="H1017" s="122"/>
      <c r="I1017" s="122"/>
      <c r="J1017" s="122"/>
      <c r="K1017" s="122"/>
      <c r="L1017" s="122"/>
      <c r="M1017" s="122"/>
      <c r="N1017" s="122"/>
      <c r="O1017" s="122"/>
      <c r="P1017" s="122"/>
      <c r="Q1017" s="122"/>
      <c r="R1017" s="122"/>
      <c r="S1017" s="122"/>
      <c r="T1017" s="122"/>
      <c r="U1017" s="122"/>
      <c r="V1017" s="122"/>
      <c r="W1017" s="122"/>
      <c r="X1017" s="122"/>
      <c r="Y1017" s="122"/>
      <c r="Z1017" s="122"/>
      <c r="AA1017" s="122"/>
    </row>
    <row r="1018">
      <c r="A1018" s="122"/>
      <c r="B1018" s="122"/>
      <c r="C1018" s="122"/>
      <c r="D1018" s="122"/>
      <c r="E1018" s="122"/>
      <c r="F1018" s="122"/>
      <c r="G1018" s="122"/>
      <c r="H1018" s="122"/>
      <c r="I1018" s="122"/>
      <c r="J1018" s="122"/>
      <c r="K1018" s="122"/>
      <c r="L1018" s="122"/>
      <c r="M1018" s="122"/>
      <c r="N1018" s="122"/>
      <c r="O1018" s="122"/>
      <c r="P1018" s="122"/>
      <c r="Q1018" s="122"/>
      <c r="R1018" s="122"/>
      <c r="S1018" s="122"/>
      <c r="T1018" s="122"/>
      <c r="U1018" s="122"/>
      <c r="V1018" s="122"/>
      <c r="W1018" s="122"/>
      <c r="X1018" s="122"/>
      <c r="Y1018" s="122"/>
      <c r="Z1018" s="122"/>
      <c r="AA1018" s="122"/>
    </row>
    <row r="1019">
      <c r="A1019" s="122"/>
      <c r="B1019" s="122"/>
      <c r="C1019" s="122"/>
      <c r="D1019" s="122"/>
      <c r="E1019" s="122"/>
      <c r="F1019" s="122"/>
      <c r="G1019" s="122"/>
      <c r="H1019" s="122"/>
      <c r="I1019" s="122"/>
      <c r="J1019" s="122"/>
      <c r="K1019" s="122"/>
      <c r="L1019" s="122"/>
      <c r="M1019" s="122"/>
      <c r="N1019" s="122"/>
      <c r="O1019" s="122"/>
      <c r="P1019" s="122"/>
      <c r="Q1019" s="122"/>
      <c r="R1019" s="122"/>
      <c r="S1019" s="122"/>
      <c r="T1019" s="122"/>
      <c r="U1019" s="122"/>
      <c r="V1019" s="122"/>
      <c r="W1019" s="122"/>
      <c r="X1019" s="122"/>
      <c r="Y1019" s="122"/>
      <c r="Z1019" s="122"/>
      <c r="AA1019" s="122"/>
    </row>
    <row r="1020">
      <c r="A1020" s="122"/>
      <c r="B1020" s="122"/>
      <c r="C1020" s="122"/>
      <c r="D1020" s="122"/>
      <c r="E1020" s="122"/>
      <c r="F1020" s="122"/>
      <c r="G1020" s="122"/>
      <c r="H1020" s="122"/>
      <c r="I1020" s="122"/>
      <c r="J1020" s="122"/>
      <c r="K1020" s="122"/>
      <c r="L1020" s="122"/>
      <c r="M1020" s="122"/>
      <c r="N1020" s="122"/>
      <c r="O1020" s="122"/>
      <c r="P1020" s="122"/>
      <c r="Q1020" s="122"/>
      <c r="R1020" s="122"/>
      <c r="S1020" s="122"/>
      <c r="T1020" s="122"/>
      <c r="U1020" s="122"/>
      <c r="V1020" s="122"/>
      <c r="W1020" s="122"/>
      <c r="X1020" s="122"/>
      <c r="Y1020" s="122"/>
      <c r="Z1020" s="122"/>
      <c r="AA1020" s="122"/>
    </row>
    <row r="1021">
      <c r="A1021" s="122"/>
      <c r="B1021" s="122"/>
      <c r="C1021" s="122"/>
      <c r="D1021" s="122"/>
      <c r="E1021" s="122"/>
      <c r="F1021" s="122"/>
      <c r="G1021" s="122"/>
      <c r="H1021" s="122"/>
      <c r="I1021" s="122"/>
      <c r="J1021" s="122"/>
      <c r="K1021" s="122"/>
      <c r="L1021" s="122"/>
      <c r="M1021" s="122"/>
      <c r="N1021" s="122"/>
      <c r="O1021" s="122"/>
      <c r="P1021" s="122"/>
      <c r="Q1021" s="122"/>
      <c r="R1021" s="122"/>
      <c r="S1021" s="122"/>
      <c r="T1021" s="122"/>
      <c r="U1021" s="122"/>
      <c r="V1021" s="122"/>
      <c r="W1021" s="122"/>
      <c r="X1021" s="122"/>
      <c r="Y1021" s="122"/>
      <c r="Z1021" s="122"/>
      <c r="AA1021" s="122"/>
    </row>
    <row r="1022">
      <c r="A1022" s="122"/>
      <c r="B1022" s="122"/>
      <c r="C1022" s="122"/>
      <c r="D1022" s="122"/>
      <c r="E1022" s="122"/>
      <c r="F1022" s="122"/>
      <c r="G1022" s="122"/>
      <c r="H1022" s="122"/>
      <c r="I1022" s="122"/>
      <c r="J1022" s="122"/>
      <c r="K1022" s="122"/>
      <c r="L1022" s="122"/>
      <c r="M1022" s="122"/>
      <c r="N1022" s="122"/>
      <c r="O1022" s="122"/>
      <c r="P1022" s="122"/>
      <c r="Q1022" s="122"/>
      <c r="R1022" s="122"/>
      <c r="S1022" s="122"/>
      <c r="T1022" s="122"/>
      <c r="U1022" s="122"/>
      <c r="V1022" s="122"/>
      <c r="W1022" s="122"/>
      <c r="X1022" s="122"/>
      <c r="Y1022" s="122"/>
      <c r="Z1022" s="122"/>
      <c r="AA1022" s="122"/>
    </row>
    <row r="1023">
      <c r="A1023" s="122"/>
      <c r="B1023" s="122"/>
      <c r="C1023" s="122"/>
      <c r="D1023" s="122"/>
      <c r="E1023" s="122"/>
      <c r="F1023" s="122"/>
      <c r="G1023" s="122"/>
      <c r="H1023" s="122"/>
      <c r="I1023" s="122"/>
      <c r="J1023" s="122"/>
      <c r="K1023" s="122"/>
      <c r="L1023" s="122"/>
      <c r="M1023" s="122"/>
      <c r="N1023" s="122"/>
      <c r="O1023" s="122"/>
      <c r="P1023" s="122"/>
      <c r="Q1023" s="122"/>
      <c r="R1023" s="122"/>
      <c r="S1023" s="122"/>
      <c r="T1023" s="122"/>
      <c r="U1023" s="122"/>
      <c r="V1023" s="122"/>
      <c r="W1023" s="122"/>
      <c r="X1023" s="122"/>
      <c r="Y1023" s="122"/>
      <c r="Z1023" s="122"/>
      <c r="AA1023" s="122"/>
    </row>
    <row r="1024">
      <c r="A1024" s="122"/>
      <c r="B1024" s="122"/>
      <c r="C1024" s="122"/>
      <c r="D1024" s="122"/>
      <c r="E1024" s="122"/>
      <c r="F1024" s="122"/>
      <c r="G1024" s="122"/>
      <c r="H1024" s="122"/>
      <c r="I1024" s="122"/>
      <c r="J1024" s="122"/>
      <c r="K1024" s="122"/>
      <c r="L1024" s="122"/>
      <c r="M1024" s="122"/>
      <c r="N1024" s="122"/>
      <c r="O1024" s="122"/>
      <c r="P1024" s="122"/>
      <c r="Q1024" s="122"/>
      <c r="R1024" s="122"/>
      <c r="S1024" s="122"/>
      <c r="T1024" s="122"/>
      <c r="U1024" s="122"/>
      <c r="V1024" s="122"/>
      <c r="W1024" s="122"/>
      <c r="X1024" s="122"/>
      <c r="Y1024" s="122"/>
      <c r="Z1024" s="122"/>
      <c r="AA1024" s="1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14"/>
    <col customWidth="1" min="3" max="3" width="23.29"/>
    <col customWidth="1" min="4" max="4" width="35.0"/>
    <col customWidth="1" min="5" max="5" width="21.57"/>
    <col customWidth="1" min="6" max="6" width="9.0"/>
    <col customWidth="1" min="7" max="26" width="8.71"/>
  </cols>
  <sheetData>
    <row r="1" ht="15.75" customHeight="1">
      <c r="A1" s="152" t="s">
        <v>372</v>
      </c>
      <c r="B1" s="152" t="s">
        <v>373</v>
      </c>
      <c r="C1" s="152" t="s">
        <v>374</v>
      </c>
      <c r="D1" s="152" t="s">
        <v>8</v>
      </c>
      <c r="E1" s="153" t="s">
        <v>375</v>
      </c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 ht="15.75" customHeight="1">
      <c r="A2" s="155" t="s">
        <v>376</v>
      </c>
      <c r="B2" s="155" t="s">
        <v>377</v>
      </c>
      <c r="C2" s="155" t="s">
        <v>378</v>
      </c>
      <c r="D2" s="155" t="s">
        <v>379</v>
      </c>
      <c r="E2" s="156" t="s">
        <v>380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 ht="15.75" customHeight="1">
      <c r="A3" s="155" t="s">
        <v>381</v>
      </c>
      <c r="B3" s="155" t="s">
        <v>382</v>
      </c>
      <c r="C3" s="155" t="s">
        <v>383</v>
      </c>
      <c r="D3" s="155" t="s">
        <v>384</v>
      </c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 ht="15.75" customHeight="1">
      <c r="A4" s="155" t="s">
        <v>385</v>
      </c>
      <c r="B4" s="155" t="s">
        <v>386</v>
      </c>
      <c r="C4" s="155" t="s">
        <v>387</v>
      </c>
      <c r="D4" s="155" t="s">
        <v>388</v>
      </c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ht="15.75" customHeight="1">
      <c r="A5" s="154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 ht="15.75" customHeight="1">
      <c r="A6" s="154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 ht="15.75" customHeight="1">
      <c r="A7" s="154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ht="15.75" customHeight="1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 ht="15.75" customHeight="1">
      <c r="A9" s="156" t="s">
        <v>389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 ht="15.75" customHeight="1">
      <c r="A10" s="156" t="s">
        <v>390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 ht="15.75" customHeight="1">
      <c r="A11" s="156" t="s">
        <v>391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 ht="15.75" customHeight="1">
      <c r="A12" s="156" t="s">
        <v>392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 ht="15.75" customHeight="1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 ht="15.75" customHeight="1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 ht="15.75" customHeight="1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 ht="15.75" customHeight="1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 ht="15.75" customHeight="1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 ht="15.75" customHeight="1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 ht="15.75" customHeight="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 ht="15.75" customHeight="1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 ht="15.75" customHeight="1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 ht="15.75" customHeight="1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 ht="15.75" customHeight="1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 ht="15.75" customHeight="1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 ht="15.75" customHeight="1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 ht="15.75" customHeight="1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 ht="15.75" customHeight="1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 ht="15.75" customHeight="1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 ht="15.75" customHeight="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 ht="15.75" customHeight="1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 ht="15.75" customHeight="1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 ht="15.75" customHeight="1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 ht="15.75" customHeight="1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 ht="15.75" customHeight="1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 ht="15.75" customHeight="1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 ht="15.75" customHeight="1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 ht="15.75" customHeight="1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 ht="15.75" customHeight="1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 ht="15.75" customHeight="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 ht="15.75" customHeight="1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 ht="15.75" customHeight="1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 ht="15.75" customHeight="1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 ht="15.75" customHeight="1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 ht="15.75" customHeight="1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 ht="15.75" customHeight="1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 ht="15.75" customHeight="1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 ht="15.75" customHeight="1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 ht="15.75" customHeight="1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 ht="15.75" customHeight="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 ht="15.75" customHeight="1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 ht="15.75" customHeight="1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 ht="15.75" customHeight="1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 ht="15.75" customHeight="1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 ht="15.75" customHeight="1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 ht="15.75" customHeight="1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 ht="15.75" customHeight="1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 ht="15.75" customHeight="1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 ht="15.75" customHeight="1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 ht="15.75" customHeight="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 ht="15.75" customHeight="1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 ht="15.75" customHeight="1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 ht="15.75" customHeight="1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 ht="15.75" customHeight="1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 ht="15.75" customHeight="1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 ht="15.75" customHeight="1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 ht="15.75" customHeight="1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 ht="15.75" customHeight="1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 ht="15.75" customHeight="1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 ht="15.75" customHeight="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 ht="15.75" customHeight="1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 ht="15.75" customHeight="1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 ht="15.75" customHeight="1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 ht="15.75" customHeight="1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 ht="15.75" customHeight="1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 ht="15.75" customHeight="1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 ht="15.75" customHeight="1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 ht="15.75" customHeight="1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 ht="15.75" customHeight="1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 ht="15.75" customHeight="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 ht="15.75" customHeight="1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 ht="15.75" customHeight="1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 ht="15.75" customHeight="1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 ht="15.75" customHeight="1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 ht="15.75" customHeight="1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 ht="15.75" customHeight="1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 ht="15.75" customHeight="1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 ht="15.75" customHeight="1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 ht="15.75" customHeight="1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 ht="15.75" customHeight="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 ht="15.75" customHeight="1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 ht="15.75" customHeight="1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 ht="15.75" customHeight="1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 ht="15.75" customHeight="1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 ht="15.75" customHeight="1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 ht="15.75" customHeight="1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 ht="15.75" customHeight="1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 ht="15.75" customHeight="1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 ht="15.75" customHeight="1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sheetData>
    <row r="1">
      <c r="A1" s="157" t="s">
        <v>393</v>
      </c>
      <c r="B1" s="157" t="s">
        <v>394</v>
      </c>
      <c r="C1" s="157" t="s">
        <v>395</v>
      </c>
      <c r="D1" s="157" t="s">
        <v>396</v>
      </c>
      <c r="E1" s="157" t="s">
        <v>397</v>
      </c>
      <c r="F1" s="157" t="s">
        <v>398</v>
      </c>
      <c r="G1" s="157" t="s">
        <v>399</v>
      </c>
      <c r="H1" s="157" t="s">
        <v>400</v>
      </c>
      <c r="I1" s="157" t="s">
        <v>401</v>
      </c>
      <c r="J1" s="157" t="s">
        <v>402</v>
      </c>
      <c r="K1" s="157" t="s">
        <v>403</v>
      </c>
      <c r="L1" s="157" t="s">
        <v>404</v>
      </c>
      <c r="M1" s="157" t="s">
        <v>405</v>
      </c>
      <c r="N1" s="157" t="s">
        <v>406</v>
      </c>
      <c r="O1" s="157" t="s">
        <v>407</v>
      </c>
      <c r="P1" s="157" t="s">
        <v>408</v>
      </c>
      <c r="Q1" s="157" t="s">
        <v>409</v>
      </c>
      <c r="R1" s="157" t="s">
        <v>410</v>
      </c>
      <c r="S1" s="157" t="s">
        <v>411</v>
      </c>
      <c r="T1" s="157" t="s">
        <v>412</v>
      </c>
      <c r="U1" s="157" t="s">
        <v>413</v>
      </c>
      <c r="V1" s="157" t="s">
        <v>414</v>
      </c>
      <c r="W1" s="157" t="s">
        <v>415</v>
      </c>
      <c r="X1" s="157" t="s">
        <v>416</v>
      </c>
      <c r="Y1" s="157" t="s">
        <v>417</v>
      </c>
      <c r="Z1" s="157" t="s">
        <v>418</v>
      </c>
      <c r="AA1" s="157" t="s">
        <v>255</v>
      </c>
      <c r="AB1" s="157" t="s">
        <v>419</v>
      </c>
    </row>
    <row r="2" hidden="1">
      <c r="A2" s="158" t="s">
        <v>420</v>
      </c>
      <c r="B2" s="159">
        <v>46068.0</v>
      </c>
      <c r="C2" s="160">
        <v>46054.0</v>
      </c>
      <c r="D2" s="159">
        <v>46065.0</v>
      </c>
      <c r="E2" s="161">
        <v>46065.0</v>
      </c>
      <c r="F2" s="158">
        <v>8.100171537206E12</v>
      </c>
      <c r="G2" s="158" t="s">
        <v>421</v>
      </c>
      <c r="H2" s="158">
        <v>2584.0</v>
      </c>
      <c r="I2" s="158" t="s">
        <v>422</v>
      </c>
      <c r="J2" s="158" t="s">
        <v>423</v>
      </c>
      <c r="K2" s="158">
        <v>1.602127277E10</v>
      </c>
      <c r="L2" s="158">
        <v>9.4724789373E10</v>
      </c>
      <c r="M2" s="158">
        <v>6.9613442E7</v>
      </c>
      <c r="N2" s="158" t="s">
        <v>424</v>
      </c>
      <c r="O2" s="158" t="s">
        <v>425</v>
      </c>
      <c r="P2" s="162">
        <v>12900.0</v>
      </c>
      <c r="Q2" s="158">
        <v>1.0</v>
      </c>
      <c r="R2" s="162">
        <v>12900.0</v>
      </c>
      <c r="S2" s="158">
        <v>0.0</v>
      </c>
      <c r="T2" s="162">
        <v>12900.0</v>
      </c>
      <c r="U2" s="162">
        <v>1000.0</v>
      </c>
      <c r="V2" s="158">
        <v>0.0</v>
      </c>
      <c r="W2" s="162">
        <v>1000.0</v>
      </c>
      <c r="X2" s="162">
        <v>10525.0</v>
      </c>
      <c r="Y2" s="158">
        <v>10.5</v>
      </c>
      <c r="Z2" s="158">
        <v>0.0</v>
      </c>
      <c r="AA2" s="162">
        <v>1250.0</v>
      </c>
      <c r="AB2" s="158">
        <v>125.0</v>
      </c>
    </row>
    <row r="3" hidden="1">
      <c r="A3" s="158" t="s">
        <v>420</v>
      </c>
      <c r="B3" s="159">
        <v>46089.0</v>
      </c>
      <c r="C3" s="160">
        <v>46082.0</v>
      </c>
      <c r="D3" s="159">
        <v>46088.0</v>
      </c>
      <c r="E3" s="161">
        <v>46088.0</v>
      </c>
      <c r="F3" s="158">
        <v>2.1100176029328E13</v>
      </c>
      <c r="G3" s="158" t="s">
        <v>421</v>
      </c>
      <c r="H3" s="158">
        <v>2584.0</v>
      </c>
      <c r="I3" s="158" t="s">
        <v>422</v>
      </c>
      <c r="J3" s="158" t="s">
        <v>423</v>
      </c>
      <c r="K3" s="158">
        <v>1.602127277E10</v>
      </c>
      <c r="L3" s="158">
        <v>9.4724789373E10</v>
      </c>
      <c r="M3" s="158">
        <v>6.9613442E7</v>
      </c>
      <c r="N3" s="158" t="s">
        <v>424</v>
      </c>
      <c r="O3" s="158" t="s">
        <v>425</v>
      </c>
      <c r="P3" s="162">
        <v>12900.0</v>
      </c>
      <c r="Q3" s="158">
        <v>1.0</v>
      </c>
      <c r="R3" s="162">
        <v>12900.0</v>
      </c>
      <c r="S3" s="158">
        <v>0.0</v>
      </c>
      <c r="T3" s="162">
        <v>12900.0</v>
      </c>
      <c r="U3" s="162">
        <v>1000.0</v>
      </c>
      <c r="V3" s="158">
        <v>0.0</v>
      </c>
      <c r="W3" s="162">
        <v>1000.0</v>
      </c>
      <c r="X3" s="162">
        <v>10525.0</v>
      </c>
      <c r="Y3" s="158">
        <v>10.5</v>
      </c>
      <c r="Z3" s="158">
        <v>0.0</v>
      </c>
      <c r="AA3" s="162">
        <v>1250.0</v>
      </c>
      <c r="AB3" s="158">
        <v>125.0</v>
      </c>
    </row>
    <row r="4" hidden="1">
      <c r="A4" s="158" t="s">
        <v>420</v>
      </c>
      <c r="B4" s="159">
        <v>46096.0</v>
      </c>
      <c r="C4" s="160">
        <v>46082.0</v>
      </c>
      <c r="D4" s="159">
        <v>46092.0</v>
      </c>
      <c r="E4" s="161">
        <v>46092.0</v>
      </c>
      <c r="F4" s="158">
        <v>8.100176969188E12</v>
      </c>
      <c r="G4" s="158" t="s">
        <v>421</v>
      </c>
      <c r="H4" s="158">
        <v>2584.0</v>
      </c>
      <c r="I4" s="158" t="s">
        <v>422</v>
      </c>
      <c r="J4" s="158" t="s">
        <v>423</v>
      </c>
      <c r="K4" s="158">
        <v>1.602127277E10</v>
      </c>
      <c r="L4" s="158">
        <v>9.4724789373E10</v>
      </c>
      <c r="M4" s="158">
        <v>6.9613442E7</v>
      </c>
      <c r="N4" s="158" t="s">
        <v>424</v>
      </c>
      <c r="O4" s="158" t="s">
        <v>425</v>
      </c>
      <c r="P4" s="162">
        <v>12900.0</v>
      </c>
      <c r="Q4" s="158">
        <v>1.0</v>
      </c>
      <c r="R4" s="162">
        <v>12900.0</v>
      </c>
      <c r="S4" s="158">
        <v>0.0</v>
      </c>
      <c r="T4" s="162">
        <v>12900.0</v>
      </c>
      <c r="U4" s="162">
        <v>1000.0</v>
      </c>
      <c r="V4" s="158">
        <v>0.0</v>
      </c>
      <c r="W4" s="162">
        <v>1000.0</v>
      </c>
      <c r="X4" s="162">
        <v>10525.0</v>
      </c>
      <c r="Y4" s="158">
        <v>10.5</v>
      </c>
      <c r="Z4" s="158">
        <v>0.0</v>
      </c>
      <c r="AA4" s="162">
        <v>1250.0</v>
      </c>
      <c r="AB4" s="158">
        <v>125.0</v>
      </c>
    </row>
    <row r="5" hidden="1">
      <c r="A5" s="158" t="s">
        <v>420</v>
      </c>
      <c r="B5" s="159">
        <v>46096.0</v>
      </c>
      <c r="C5" s="160">
        <v>46082.0</v>
      </c>
      <c r="D5" s="159">
        <v>46092.0</v>
      </c>
      <c r="E5" s="161">
        <v>46092.0</v>
      </c>
      <c r="F5" s="158">
        <v>1.1100176609525E13</v>
      </c>
      <c r="G5" s="158" t="s">
        <v>421</v>
      </c>
      <c r="H5" s="158">
        <v>2584.0</v>
      </c>
      <c r="I5" s="158" t="s">
        <v>422</v>
      </c>
      <c r="J5" s="158" t="s">
        <v>423</v>
      </c>
      <c r="K5" s="158">
        <v>1.602127277E10</v>
      </c>
      <c r="L5" s="158">
        <v>9.4724789373E10</v>
      </c>
      <c r="M5" s="158">
        <v>6.9613442E7</v>
      </c>
      <c r="N5" s="158" t="s">
        <v>424</v>
      </c>
      <c r="O5" s="158" t="s">
        <v>425</v>
      </c>
      <c r="P5" s="162">
        <v>12900.0</v>
      </c>
      <c r="Q5" s="158">
        <v>1.0</v>
      </c>
      <c r="R5" s="162">
        <v>12900.0</v>
      </c>
      <c r="S5" s="158">
        <v>0.0</v>
      </c>
      <c r="T5" s="162">
        <v>12900.0</v>
      </c>
      <c r="U5" s="162">
        <v>1000.0</v>
      </c>
      <c r="V5" s="158">
        <v>0.0</v>
      </c>
      <c r="W5" s="162">
        <v>1000.0</v>
      </c>
      <c r="X5" s="162">
        <v>10525.0</v>
      </c>
      <c r="Y5" s="158">
        <v>10.5</v>
      </c>
      <c r="Z5" s="158">
        <v>0.0</v>
      </c>
      <c r="AA5" s="162">
        <v>1250.0</v>
      </c>
      <c r="AB5" s="158">
        <v>125.0</v>
      </c>
    </row>
    <row r="6" hidden="1">
      <c r="A6" s="158" t="s">
        <v>420</v>
      </c>
      <c r="B6" s="159">
        <v>46103.0</v>
      </c>
      <c r="C6" s="160">
        <v>46082.0</v>
      </c>
      <c r="D6" s="159">
        <v>46103.0</v>
      </c>
      <c r="E6" s="163">
        <v>46103.0</v>
      </c>
      <c r="F6" s="158">
        <v>2.0100179121625E13</v>
      </c>
      <c r="G6" s="158" t="s">
        <v>421</v>
      </c>
      <c r="H6" s="158">
        <v>2584.0</v>
      </c>
      <c r="I6" s="158" t="s">
        <v>422</v>
      </c>
      <c r="J6" s="158" t="s">
        <v>423</v>
      </c>
      <c r="K6" s="158">
        <v>1.602127277E10</v>
      </c>
      <c r="L6" s="158">
        <v>9.4724789373E10</v>
      </c>
      <c r="M6" s="158">
        <v>6.9613442E7</v>
      </c>
      <c r="N6" s="158" t="s">
        <v>424</v>
      </c>
      <c r="O6" s="158" t="s">
        <v>425</v>
      </c>
      <c r="P6" s="162">
        <v>12900.0</v>
      </c>
      <c r="Q6" s="158">
        <v>1.0</v>
      </c>
      <c r="R6" s="162">
        <v>12900.0</v>
      </c>
      <c r="S6" s="158">
        <v>0.0</v>
      </c>
      <c r="T6" s="162">
        <v>12900.0</v>
      </c>
      <c r="U6" s="162">
        <v>1000.0</v>
      </c>
      <c r="V6" s="158">
        <v>0.0</v>
      </c>
      <c r="W6" s="162">
        <v>1000.0</v>
      </c>
      <c r="X6" s="162">
        <v>10525.0</v>
      </c>
      <c r="Y6" s="158">
        <v>10.5</v>
      </c>
      <c r="Z6" s="158">
        <v>0.0</v>
      </c>
      <c r="AA6" s="162">
        <v>1250.0</v>
      </c>
      <c r="AB6" s="158">
        <v>125.0</v>
      </c>
    </row>
    <row r="7" hidden="1">
      <c r="A7" s="158" t="s">
        <v>420</v>
      </c>
      <c r="B7" s="159">
        <v>46103.0</v>
      </c>
      <c r="C7" s="160">
        <v>46082.0</v>
      </c>
      <c r="D7" s="159">
        <v>46103.0</v>
      </c>
      <c r="E7" s="163">
        <v>46103.0</v>
      </c>
      <c r="F7" s="158">
        <v>1.4100179261352E13</v>
      </c>
      <c r="G7" s="158" t="s">
        <v>421</v>
      </c>
      <c r="H7" s="158">
        <v>2584.0</v>
      </c>
      <c r="I7" s="158" t="s">
        <v>422</v>
      </c>
      <c r="J7" s="158" t="s">
        <v>423</v>
      </c>
      <c r="K7" s="158">
        <v>1.602127277E10</v>
      </c>
      <c r="L7" s="158">
        <v>9.4724789373E10</v>
      </c>
      <c r="M7" s="158">
        <v>6.9613442E7</v>
      </c>
      <c r="N7" s="158" t="s">
        <v>424</v>
      </c>
      <c r="O7" s="158" t="s">
        <v>425</v>
      </c>
      <c r="P7" s="162">
        <v>12900.0</v>
      </c>
      <c r="Q7" s="158">
        <v>1.0</v>
      </c>
      <c r="R7" s="162">
        <v>12900.0</v>
      </c>
      <c r="S7" s="158">
        <v>0.0</v>
      </c>
      <c r="T7" s="162">
        <v>12900.0</v>
      </c>
      <c r="U7" s="162">
        <v>1000.0</v>
      </c>
      <c r="V7" s="158">
        <v>0.0</v>
      </c>
      <c r="W7" s="162">
        <v>1000.0</v>
      </c>
      <c r="X7" s="162">
        <v>10525.0</v>
      </c>
      <c r="Y7" s="158">
        <v>10.5</v>
      </c>
      <c r="Z7" s="158">
        <v>0.0</v>
      </c>
      <c r="AA7" s="162">
        <v>1250.0</v>
      </c>
      <c r="AB7" s="158">
        <v>125.0</v>
      </c>
    </row>
    <row r="8" hidden="1">
      <c r="A8" s="158" t="s">
        <v>420</v>
      </c>
      <c r="B8" s="159">
        <v>46110.0</v>
      </c>
      <c r="C8" s="160">
        <v>46082.0</v>
      </c>
      <c r="D8" s="159">
        <v>46110.0</v>
      </c>
      <c r="E8" s="159">
        <v>46110.0</v>
      </c>
      <c r="F8" s="158">
        <v>1.7100180293512E13</v>
      </c>
      <c r="G8" s="158" t="s">
        <v>421</v>
      </c>
      <c r="H8" s="158">
        <v>2631.0</v>
      </c>
      <c r="I8" s="158" t="s">
        <v>426</v>
      </c>
      <c r="J8" s="158" t="s">
        <v>423</v>
      </c>
      <c r="K8" s="158">
        <v>1.6097406677E10</v>
      </c>
      <c r="L8" s="158">
        <v>9.5010667357E10</v>
      </c>
      <c r="M8" s="158">
        <v>7.0897792E7</v>
      </c>
      <c r="N8" s="158" t="s">
        <v>427</v>
      </c>
      <c r="O8" s="158" t="s">
        <v>428</v>
      </c>
      <c r="P8" s="162">
        <v>16500.0</v>
      </c>
      <c r="Q8" s="158">
        <v>1.0</v>
      </c>
      <c r="R8" s="162">
        <v>16500.0</v>
      </c>
      <c r="S8" s="158">
        <v>0.0</v>
      </c>
      <c r="T8" s="162">
        <v>16500.0</v>
      </c>
      <c r="U8" s="162">
        <v>1000.0</v>
      </c>
      <c r="V8" s="158">
        <v>0.0</v>
      </c>
      <c r="W8" s="162">
        <v>1000.0</v>
      </c>
      <c r="X8" s="162">
        <v>13709.0</v>
      </c>
      <c r="Y8" s="158">
        <v>10.5</v>
      </c>
      <c r="Z8" s="158">
        <v>0.0</v>
      </c>
      <c r="AA8" s="162">
        <v>1628.0</v>
      </c>
      <c r="AB8" s="158">
        <v>163.0</v>
      </c>
    </row>
    <row r="9" hidden="1">
      <c r="A9" s="158" t="s">
        <v>420</v>
      </c>
      <c r="B9" s="159">
        <v>46117.0</v>
      </c>
      <c r="C9" s="160">
        <v>46113.0</v>
      </c>
      <c r="D9" s="159">
        <v>46114.0</v>
      </c>
      <c r="E9" s="159">
        <v>46114.0</v>
      </c>
      <c r="F9" s="158">
        <v>3.100181737245E12</v>
      </c>
      <c r="G9" s="158" t="s">
        <v>421</v>
      </c>
      <c r="H9" s="158">
        <v>2631.0</v>
      </c>
      <c r="I9" s="158" t="s">
        <v>426</v>
      </c>
      <c r="J9" s="158" t="s">
        <v>423</v>
      </c>
      <c r="K9" s="158">
        <v>1.6097406677E10</v>
      </c>
      <c r="L9" s="158">
        <v>9.5010667357E10</v>
      </c>
      <c r="M9" s="158">
        <v>7.0897792E7</v>
      </c>
      <c r="N9" s="158" t="s">
        <v>427</v>
      </c>
      <c r="O9" s="158" t="s">
        <v>428</v>
      </c>
      <c r="P9" s="162">
        <v>16500.0</v>
      </c>
      <c r="Q9" s="158">
        <v>1.0</v>
      </c>
      <c r="R9" s="162">
        <v>16500.0</v>
      </c>
      <c r="S9" s="158">
        <v>0.0</v>
      </c>
      <c r="T9" s="162">
        <v>16500.0</v>
      </c>
      <c r="U9" s="162">
        <v>1000.0</v>
      </c>
      <c r="V9" s="158">
        <v>0.0</v>
      </c>
      <c r="W9" s="162">
        <v>1000.0</v>
      </c>
      <c r="X9" s="162">
        <v>13709.0</v>
      </c>
      <c r="Y9" s="158">
        <v>10.5</v>
      </c>
      <c r="Z9" s="158">
        <v>0.0</v>
      </c>
      <c r="AA9" s="162">
        <v>1628.0</v>
      </c>
      <c r="AB9" s="158">
        <v>163.0</v>
      </c>
    </row>
    <row r="10" hidden="1">
      <c r="A10" s="158" t="s">
        <v>420</v>
      </c>
      <c r="B10" s="159">
        <v>46117.0</v>
      </c>
      <c r="C10" s="160">
        <v>46113.0</v>
      </c>
      <c r="D10" s="159">
        <v>46114.0</v>
      </c>
      <c r="E10" s="164">
        <v>46114.0</v>
      </c>
      <c r="F10" s="158">
        <v>2.100180847731E12</v>
      </c>
      <c r="G10" s="158" t="s">
        <v>421</v>
      </c>
      <c r="H10" s="158">
        <v>2584.0</v>
      </c>
      <c r="I10" s="158" t="s">
        <v>422</v>
      </c>
      <c r="J10" s="158" t="s">
        <v>423</v>
      </c>
      <c r="K10" s="158">
        <v>1.602127277E10</v>
      </c>
      <c r="L10" s="158">
        <v>9.4724789373E10</v>
      </c>
      <c r="M10" s="158">
        <v>6.9613442E7</v>
      </c>
      <c r="N10" s="158" t="s">
        <v>424</v>
      </c>
      <c r="O10" s="158" t="s">
        <v>425</v>
      </c>
      <c r="P10" s="162">
        <v>12900.0</v>
      </c>
      <c r="Q10" s="158">
        <v>1.0</v>
      </c>
      <c r="R10" s="162">
        <v>12900.0</v>
      </c>
      <c r="S10" s="158">
        <v>0.0</v>
      </c>
      <c r="T10" s="162">
        <v>12900.0</v>
      </c>
      <c r="U10" s="162">
        <v>1000.0</v>
      </c>
      <c r="V10" s="158">
        <v>0.0</v>
      </c>
      <c r="W10" s="162">
        <v>1000.0</v>
      </c>
      <c r="X10" s="162">
        <v>10525.0</v>
      </c>
      <c r="Y10" s="158">
        <v>10.5</v>
      </c>
      <c r="Z10" s="158">
        <v>0.0</v>
      </c>
      <c r="AA10" s="162">
        <v>1250.0</v>
      </c>
      <c r="AB10" s="158">
        <v>125.0</v>
      </c>
    </row>
    <row r="11" hidden="1">
      <c r="A11" s="158" t="s">
        <v>420</v>
      </c>
      <c r="B11" s="159">
        <v>46117.0</v>
      </c>
      <c r="C11" s="160">
        <v>46113.0</v>
      </c>
      <c r="D11" s="159">
        <v>46114.0</v>
      </c>
      <c r="E11" s="164">
        <v>46114.0</v>
      </c>
      <c r="F11" s="158">
        <v>2.100180924469E12</v>
      </c>
      <c r="G11" s="158" t="s">
        <v>421</v>
      </c>
      <c r="H11" s="158">
        <v>2584.0</v>
      </c>
      <c r="I11" s="158" t="s">
        <v>422</v>
      </c>
      <c r="J11" s="158" t="s">
        <v>423</v>
      </c>
      <c r="K11" s="158">
        <v>1.602127277E10</v>
      </c>
      <c r="L11" s="158">
        <v>9.4724789373E10</v>
      </c>
      <c r="M11" s="158">
        <v>6.9613442E7</v>
      </c>
      <c r="N11" s="158" t="s">
        <v>424</v>
      </c>
      <c r="O11" s="158" t="s">
        <v>425</v>
      </c>
      <c r="P11" s="162">
        <v>12900.0</v>
      </c>
      <c r="Q11" s="158">
        <v>1.0</v>
      </c>
      <c r="R11" s="162">
        <v>12900.0</v>
      </c>
      <c r="S11" s="158">
        <v>0.0</v>
      </c>
      <c r="T11" s="162">
        <v>12900.0</v>
      </c>
      <c r="U11" s="162">
        <v>1000.0</v>
      </c>
      <c r="V11" s="158">
        <v>0.0</v>
      </c>
      <c r="W11" s="162">
        <v>1000.0</v>
      </c>
      <c r="X11" s="162">
        <v>10525.0</v>
      </c>
      <c r="Y11" s="158">
        <v>10.5</v>
      </c>
      <c r="Z11" s="158">
        <v>0.0</v>
      </c>
      <c r="AA11" s="162">
        <v>1250.0</v>
      </c>
      <c r="AB11" s="158">
        <v>125.0</v>
      </c>
    </row>
    <row r="12" hidden="1">
      <c r="A12" s="158" t="s">
        <v>420</v>
      </c>
      <c r="B12" s="159">
        <v>46117.0</v>
      </c>
      <c r="C12" s="160">
        <v>46113.0</v>
      </c>
      <c r="D12" s="159">
        <v>46115.0</v>
      </c>
      <c r="E12" s="164">
        <v>46115.0</v>
      </c>
      <c r="F12" s="158">
        <v>2.9100181682787E13</v>
      </c>
      <c r="G12" s="158" t="s">
        <v>421</v>
      </c>
      <c r="H12" s="158">
        <v>2584.0</v>
      </c>
      <c r="I12" s="158" t="s">
        <v>422</v>
      </c>
      <c r="J12" s="158" t="s">
        <v>423</v>
      </c>
      <c r="K12" s="158">
        <v>1.602127277E10</v>
      </c>
      <c r="L12" s="158">
        <v>9.4724789373E10</v>
      </c>
      <c r="M12" s="158">
        <v>6.9613442E7</v>
      </c>
      <c r="N12" s="158" t="s">
        <v>424</v>
      </c>
      <c r="O12" s="158" t="s">
        <v>425</v>
      </c>
      <c r="P12" s="162">
        <v>12900.0</v>
      </c>
      <c r="Q12" s="158">
        <v>1.0</v>
      </c>
      <c r="R12" s="162">
        <v>12900.0</v>
      </c>
      <c r="S12" s="158">
        <v>0.0</v>
      </c>
      <c r="T12" s="162">
        <v>12900.0</v>
      </c>
      <c r="U12" s="162">
        <v>1000.0</v>
      </c>
      <c r="V12" s="158">
        <v>0.0</v>
      </c>
      <c r="W12" s="162">
        <v>1000.0</v>
      </c>
      <c r="X12" s="162">
        <v>10525.0</v>
      </c>
      <c r="Y12" s="158">
        <v>10.5</v>
      </c>
      <c r="Z12" s="158">
        <v>0.0</v>
      </c>
      <c r="AA12" s="162">
        <v>1250.0</v>
      </c>
      <c r="AB12" s="158">
        <v>125.0</v>
      </c>
    </row>
    <row r="13" hidden="1">
      <c r="A13" s="158" t="s">
        <v>420</v>
      </c>
      <c r="B13" s="159">
        <v>46117.0</v>
      </c>
      <c r="C13" s="160">
        <v>46113.0</v>
      </c>
      <c r="D13" s="159">
        <v>46116.0</v>
      </c>
      <c r="E13" s="164">
        <v>46116.0</v>
      </c>
      <c r="F13" s="158">
        <v>1.8100181606063E13</v>
      </c>
      <c r="G13" s="158" t="s">
        <v>421</v>
      </c>
      <c r="H13" s="158">
        <v>2584.0</v>
      </c>
      <c r="I13" s="158" t="s">
        <v>422</v>
      </c>
      <c r="J13" s="158" t="s">
        <v>423</v>
      </c>
      <c r="K13" s="158">
        <v>1.602127277E10</v>
      </c>
      <c r="L13" s="158">
        <v>9.4724789373E10</v>
      </c>
      <c r="M13" s="158">
        <v>6.9613442E7</v>
      </c>
      <c r="N13" s="158" t="s">
        <v>424</v>
      </c>
      <c r="O13" s="158" t="s">
        <v>425</v>
      </c>
      <c r="P13" s="162">
        <v>12900.0</v>
      </c>
      <c r="Q13" s="158">
        <v>1.0</v>
      </c>
      <c r="R13" s="162">
        <v>12900.0</v>
      </c>
      <c r="S13" s="158">
        <v>0.0</v>
      </c>
      <c r="T13" s="162">
        <v>12900.0</v>
      </c>
      <c r="U13" s="162">
        <v>1000.0</v>
      </c>
      <c r="V13" s="158">
        <v>0.0</v>
      </c>
      <c r="W13" s="162">
        <v>1000.0</v>
      </c>
      <c r="X13" s="162">
        <v>10525.0</v>
      </c>
      <c r="Y13" s="158">
        <v>10.5</v>
      </c>
      <c r="Z13" s="158">
        <v>0.0</v>
      </c>
      <c r="AA13" s="162">
        <v>1250.0</v>
      </c>
      <c r="AB13" s="158">
        <v>125.0</v>
      </c>
    </row>
    <row r="14" hidden="1">
      <c r="A14" s="158" t="s">
        <v>420</v>
      </c>
      <c r="B14" s="159">
        <v>46117.0</v>
      </c>
      <c r="C14" s="160">
        <v>46113.0</v>
      </c>
      <c r="D14" s="159">
        <v>46117.0</v>
      </c>
      <c r="E14" s="165">
        <v>46117.0</v>
      </c>
      <c r="F14" s="158">
        <v>1.1100181940859E13</v>
      </c>
      <c r="G14" s="158" t="s">
        <v>421</v>
      </c>
      <c r="H14" s="158">
        <v>2584.0</v>
      </c>
      <c r="I14" s="158" t="s">
        <v>422</v>
      </c>
      <c r="J14" s="158" t="s">
        <v>423</v>
      </c>
      <c r="K14" s="158">
        <v>1.602127277E10</v>
      </c>
      <c r="L14" s="158">
        <v>9.4724789373E10</v>
      </c>
      <c r="M14" s="158">
        <v>6.9613442E7</v>
      </c>
      <c r="N14" s="158" t="s">
        <v>424</v>
      </c>
      <c r="O14" s="158" t="s">
        <v>425</v>
      </c>
      <c r="P14" s="162">
        <v>12900.0</v>
      </c>
      <c r="Q14" s="158">
        <v>1.0</v>
      </c>
      <c r="R14" s="162">
        <v>12900.0</v>
      </c>
      <c r="S14" s="158">
        <v>0.0</v>
      </c>
      <c r="T14" s="162">
        <v>12900.0</v>
      </c>
      <c r="U14" s="162">
        <v>1000.0</v>
      </c>
      <c r="V14" s="158">
        <v>0.0</v>
      </c>
      <c r="W14" s="162">
        <v>1000.0</v>
      </c>
      <c r="X14" s="162">
        <v>10525.0</v>
      </c>
      <c r="Y14" s="158">
        <v>10.5</v>
      </c>
      <c r="Z14" s="158">
        <v>0.0</v>
      </c>
      <c r="AA14" s="162">
        <v>1250.0</v>
      </c>
      <c r="AB14" s="158">
        <v>125.0</v>
      </c>
    </row>
    <row r="15" hidden="1">
      <c r="A15" s="158" t="s">
        <v>420</v>
      </c>
      <c r="B15" s="159">
        <v>46124.0</v>
      </c>
      <c r="C15" s="160">
        <v>46113.0</v>
      </c>
      <c r="D15" s="159">
        <v>46118.0</v>
      </c>
      <c r="E15" s="165">
        <v>46118.0</v>
      </c>
      <c r="F15" s="158">
        <v>1.8100181606063E13</v>
      </c>
      <c r="G15" s="158" t="s">
        <v>429</v>
      </c>
      <c r="H15" s="158">
        <v>2584.0</v>
      </c>
      <c r="I15" s="158" t="s">
        <v>422</v>
      </c>
      <c r="J15" s="158" t="s">
        <v>423</v>
      </c>
      <c r="K15" s="158">
        <v>1.602127277E10</v>
      </c>
      <c r="L15" s="158">
        <v>9.4724789373E10</v>
      </c>
      <c r="M15" s="158">
        <v>6.9613442E7</v>
      </c>
      <c r="N15" s="158" t="s">
        <v>424</v>
      </c>
      <c r="O15" s="158" t="s">
        <v>425</v>
      </c>
      <c r="P15" s="162">
        <v>12900.0</v>
      </c>
      <c r="Q15" s="158">
        <v>-1.0</v>
      </c>
      <c r="R15" s="162">
        <v>-12900.0</v>
      </c>
      <c r="S15" s="158">
        <v>0.0</v>
      </c>
      <c r="T15" s="162">
        <v>-12900.0</v>
      </c>
      <c r="U15" s="162">
        <v>-1000.0</v>
      </c>
      <c r="V15" s="158">
        <v>0.0</v>
      </c>
      <c r="W15" s="162">
        <v>-1000.0</v>
      </c>
      <c r="X15" s="162">
        <v>-10525.0</v>
      </c>
      <c r="Y15" s="158">
        <v>10.5</v>
      </c>
      <c r="Z15" s="158">
        <v>0.0</v>
      </c>
      <c r="AA15" s="162">
        <v>-1250.0</v>
      </c>
      <c r="AB15" s="158">
        <v>-125.0</v>
      </c>
    </row>
    <row r="16" hidden="1">
      <c r="A16" s="158" t="s">
        <v>420</v>
      </c>
      <c r="B16" s="159">
        <v>46124.0</v>
      </c>
      <c r="C16" s="160">
        <v>46113.0</v>
      </c>
      <c r="D16" s="159">
        <v>46119.0</v>
      </c>
      <c r="E16" s="159">
        <v>46119.0</v>
      </c>
      <c r="F16" s="158">
        <v>8.100182808164E12</v>
      </c>
      <c r="G16" s="158" t="s">
        <v>421</v>
      </c>
      <c r="H16" s="158">
        <v>2631.0</v>
      </c>
      <c r="I16" s="158" t="s">
        <v>426</v>
      </c>
      <c r="J16" s="158" t="s">
        <v>423</v>
      </c>
      <c r="K16" s="158">
        <v>1.6097406677E10</v>
      </c>
      <c r="L16" s="158">
        <v>9.5010667357E10</v>
      </c>
      <c r="M16" s="158">
        <v>7.0897792E7</v>
      </c>
      <c r="N16" s="158" t="s">
        <v>427</v>
      </c>
      <c r="O16" s="158" t="s">
        <v>428</v>
      </c>
      <c r="P16" s="162">
        <v>16500.0</v>
      </c>
      <c r="Q16" s="158">
        <v>1.0</v>
      </c>
      <c r="R16" s="162">
        <v>16500.0</v>
      </c>
      <c r="S16" s="158">
        <v>0.0</v>
      </c>
      <c r="T16" s="162">
        <v>16500.0</v>
      </c>
      <c r="U16" s="162">
        <v>1000.0</v>
      </c>
      <c r="V16" s="158">
        <v>0.0</v>
      </c>
      <c r="W16" s="162">
        <v>1000.0</v>
      </c>
      <c r="X16" s="162">
        <v>13709.0</v>
      </c>
      <c r="Y16" s="158">
        <v>10.5</v>
      </c>
      <c r="Z16" s="158">
        <v>0.0</v>
      </c>
      <c r="AA16" s="162">
        <v>1628.0</v>
      </c>
      <c r="AB16" s="158">
        <v>163.0</v>
      </c>
    </row>
    <row r="17" hidden="1">
      <c r="A17" s="158" t="s">
        <v>420</v>
      </c>
      <c r="B17" s="159">
        <v>46124.0</v>
      </c>
      <c r="C17" s="160">
        <v>46113.0</v>
      </c>
      <c r="D17" s="159">
        <v>46119.0</v>
      </c>
      <c r="E17" s="159">
        <v>46119.0</v>
      </c>
      <c r="F17" s="158">
        <v>2.2100181733669E13</v>
      </c>
      <c r="G17" s="158" t="s">
        <v>421</v>
      </c>
      <c r="H17" s="158">
        <v>1876.0</v>
      </c>
      <c r="I17" s="158" t="s">
        <v>430</v>
      </c>
      <c r="J17" s="158" t="s">
        <v>423</v>
      </c>
      <c r="K17" s="158">
        <v>1.6063349955E10</v>
      </c>
      <c r="L17" s="158">
        <v>9.4873031408E10</v>
      </c>
      <c r="M17" s="158">
        <v>7.0897841E7</v>
      </c>
      <c r="N17" s="158" t="s">
        <v>431</v>
      </c>
      <c r="O17" s="158" t="s">
        <v>432</v>
      </c>
      <c r="P17" s="162">
        <v>6500.0</v>
      </c>
      <c r="Q17" s="158">
        <v>1.0</v>
      </c>
      <c r="R17" s="162">
        <v>6500.0</v>
      </c>
      <c r="S17" s="158">
        <v>0.0</v>
      </c>
      <c r="T17" s="162">
        <v>6500.0</v>
      </c>
      <c r="U17" s="162">
        <v>1000.0</v>
      </c>
      <c r="V17" s="158">
        <v>0.0</v>
      </c>
      <c r="W17" s="162">
        <v>1000.0</v>
      </c>
      <c r="X17" s="162">
        <v>4864.0</v>
      </c>
      <c r="Y17" s="158">
        <v>10.5</v>
      </c>
      <c r="Z17" s="158">
        <v>0.0</v>
      </c>
      <c r="AA17" s="158">
        <v>578.0</v>
      </c>
      <c r="AB17" s="158">
        <v>58.0</v>
      </c>
    </row>
    <row r="18" hidden="1">
      <c r="A18" s="158" t="s">
        <v>420</v>
      </c>
      <c r="B18" s="159">
        <v>46124.0</v>
      </c>
      <c r="C18" s="160">
        <v>46113.0</v>
      </c>
      <c r="D18" s="159">
        <v>46124.0</v>
      </c>
      <c r="E18" s="164">
        <v>46124.0</v>
      </c>
      <c r="F18" s="158">
        <v>6.100183375349E12</v>
      </c>
      <c r="G18" s="158" t="s">
        <v>421</v>
      </c>
      <c r="H18" s="158">
        <v>2584.0</v>
      </c>
      <c r="I18" s="158" t="s">
        <v>422</v>
      </c>
      <c r="J18" s="158" t="s">
        <v>423</v>
      </c>
      <c r="K18" s="158">
        <v>1.602127277E10</v>
      </c>
      <c r="L18" s="158">
        <v>9.4724789373E10</v>
      </c>
      <c r="M18" s="158">
        <v>6.9613442E7</v>
      </c>
      <c r="N18" s="158" t="s">
        <v>424</v>
      </c>
      <c r="O18" s="158" t="s">
        <v>425</v>
      </c>
      <c r="P18" s="162">
        <v>12900.0</v>
      </c>
      <c r="Q18" s="158">
        <v>1.0</v>
      </c>
      <c r="R18" s="162">
        <v>12900.0</v>
      </c>
      <c r="S18" s="158">
        <v>0.0</v>
      </c>
      <c r="T18" s="162">
        <v>12900.0</v>
      </c>
      <c r="U18" s="162">
        <v>1000.0</v>
      </c>
      <c r="V18" s="158">
        <v>0.0</v>
      </c>
      <c r="W18" s="162">
        <v>1000.0</v>
      </c>
      <c r="X18" s="162">
        <v>10525.0</v>
      </c>
      <c r="Y18" s="158">
        <v>10.5</v>
      </c>
      <c r="Z18" s="158">
        <v>0.0</v>
      </c>
      <c r="AA18" s="162">
        <v>1250.0</v>
      </c>
      <c r="AB18" s="158">
        <v>125.0</v>
      </c>
    </row>
    <row r="19" hidden="1">
      <c r="A19" s="158" t="s">
        <v>420</v>
      </c>
      <c r="B19" s="159">
        <v>46131.0</v>
      </c>
      <c r="C19" s="160">
        <v>46113.0</v>
      </c>
      <c r="D19" s="159">
        <v>46125.0</v>
      </c>
      <c r="E19" s="166">
        <v>46125.0</v>
      </c>
      <c r="F19" s="158">
        <v>2.1100184193119E13</v>
      </c>
      <c r="G19" s="158" t="s">
        <v>421</v>
      </c>
      <c r="H19" s="158">
        <v>2584.0</v>
      </c>
      <c r="I19" s="158" t="s">
        <v>422</v>
      </c>
      <c r="J19" s="158" t="s">
        <v>423</v>
      </c>
      <c r="K19" s="158">
        <v>1.602127277E10</v>
      </c>
      <c r="L19" s="158">
        <v>9.4724789373E10</v>
      </c>
      <c r="M19" s="158">
        <v>6.9613442E7</v>
      </c>
      <c r="N19" s="158" t="s">
        <v>424</v>
      </c>
      <c r="O19" s="158" t="s">
        <v>425</v>
      </c>
      <c r="P19" s="162">
        <v>12900.0</v>
      </c>
      <c r="Q19" s="158">
        <v>1.0</v>
      </c>
      <c r="R19" s="162">
        <v>12900.0</v>
      </c>
      <c r="S19" s="158">
        <v>0.0</v>
      </c>
      <c r="T19" s="162">
        <v>12900.0</v>
      </c>
      <c r="U19" s="162">
        <v>1000.0</v>
      </c>
      <c r="V19" s="158">
        <v>0.0</v>
      </c>
      <c r="W19" s="162">
        <v>1000.0</v>
      </c>
      <c r="X19" s="162">
        <v>10525.0</v>
      </c>
      <c r="Y19" s="158">
        <v>10.5</v>
      </c>
      <c r="Z19" s="158">
        <v>0.0</v>
      </c>
      <c r="AA19" s="162">
        <v>1250.0</v>
      </c>
      <c r="AB19" s="158">
        <v>125.0</v>
      </c>
    </row>
    <row r="20" hidden="1">
      <c r="A20" s="158" t="s">
        <v>420</v>
      </c>
      <c r="B20" s="159">
        <v>46131.0</v>
      </c>
      <c r="C20" s="160">
        <v>46113.0</v>
      </c>
      <c r="D20" s="159">
        <v>46127.0</v>
      </c>
      <c r="E20" s="167">
        <v>46127.0</v>
      </c>
      <c r="F20" s="158">
        <v>1.2100183793652E13</v>
      </c>
      <c r="G20" s="158" t="s">
        <v>421</v>
      </c>
      <c r="H20" s="158">
        <v>2584.0</v>
      </c>
      <c r="I20" s="158" t="s">
        <v>422</v>
      </c>
      <c r="J20" s="158" t="s">
        <v>423</v>
      </c>
      <c r="K20" s="158">
        <v>1.6140005242E10</v>
      </c>
      <c r="L20" s="158">
        <v>9.5179673142E10</v>
      </c>
      <c r="M20" s="158">
        <v>7.176054E7</v>
      </c>
      <c r="N20" s="158" t="s">
        <v>424</v>
      </c>
      <c r="O20" s="158" t="s">
        <v>425</v>
      </c>
      <c r="P20" s="162">
        <v>10710.0</v>
      </c>
      <c r="Q20" s="158">
        <v>1.0</v>
      </c>
      <c r="R20" s="162">
        <v>10710.0</v>
      </c>
      <c r="S20" s="158">
        <v>0.0</v>
      </c>
      <c r="T20" s="162">
        <v>10710.0</v>
      </c>
      <c r="U20" s="158">
        <v>0.0</v>
      </c>
      <c r="V20" s="158">
        <v>0.0</v>
      </c>
      <c r="W20" s="158">
        <v>0.0</v>
      </c>
      <c r="X20" s="162">
        <v>9472.0</v>
      </c>
      <c r="Y20" s="158">
        <v>10.5</v>
      </c>
      <c r="Z20" s="158">
        <v>0.0</v>
      </c>
      <c r="AA20" s="162">
        <v>1125.0</v>
      </c>
      <c r="AB20" s="158">
        <v>113.0</v>
      </c>
    </row>
    <row r="21" hidden="1">
      <c r="A21" s="158" t="s">
        <v>420</v>
      </c>
      <c r="B21" s="159">
        <v>46131.0</v>
      </c>
      <c r="C21" s="160">
        <v>46113.0</v>
      </c>
      <c r="D21" s="159">
        <v>46128.0</v>
      </c>
      <c r="E21" s="166">
        <v>46128.0</v>
      </c>
      <c r="F21" s="158">
        <v>1.8100184174933E13</v>
      </c>
      <c r="G21" s="158" t="s">
        <v>421</v>
      </c>
      <c r="H21" s="158">
        <v>2584.0</v>
      </c>
      <c r="I21" s="158" t="s">
        <v>422</v>
      </c>
      <c r="J21" s="158" t="s">
        <v>423</v>
      </c>
      <c r="K21" s="158">
        <v>1.602127277E10</v>
      </c>
      <c r="L21" s="158">
        <v>9.4724789373E10</v>
      </c>
      <c r="M21" s="158">
        <v>6.9613442E7</v>
      </c>
      <c r="N21" s="158" t="s">
        <v>424</v>
      </c>
      <c r="O21" s="158" t="s">
        <v>425</v>
      </c>
      <c r="P21" s="162">
        <v>12900.0</v>
      </c>
      <c r="Q21" s="158">
        <v>1.0</v>
      </c>
      <c r="R21" s="162">
        <v>12900.0</v>
      </c>
      <c r="S21" s="158">
        <v>0.0</v>
      </c>
      <c r="T21" s="162">
        <v>12900.0</v>
      </c>
      <c r="U21" s="162">
        <v>1000.0</v>
      </c>
      <c r="V21" s="158">
        <v>0.0</v>
      </c>
      <c r="W21" s="162">
        <v>1000.0</v>
      </c>
      <c r="X21" s="162">
        <v>10525.0</v>
      </c>
      <c r="Y21" s="158">
        <v>10.5</v>
      </c>
      <c r="Z21" s="158">
        <v>0.0</v>
      </c>
      <c r="AA21" s="162">
        <v>1250.0</v>
      </c>
      <c r="AB21" s="158">
        <v>125.0</v>
      </c>
    </row>
    <row r="22" hidden="1">
      <c r="A22" s="158" t="s">
        <v>420</v>
      </c>
      <c r="B22" s="159">
        <v>46131.0</v>
      </c>
      <c r="C22" s="160">
        <v>46113.0</v>
      </c>
      <c r="D22" s="159">
        <v>46128.0</v>
      </c>
      <c r="E22" s="166">
        <v>46128.0</v>
      </c>
      <c r="F22" s="158">
        <v>3.2100184419273E13</v>
      </c>
      <c r="G22" s="158" t="s">
        <v>421</v>
      </c>
      <c r="H22" s="158">
        <v>2584.0</v>
      </c>
      <c r="I22" s="158" t="s">
        <v>422</v>
      </c>
      <c r="J22" s="158" t="s">
        <v>423</v>
      </c>
      <c r="K22" s="158">
        <v>1.602127277E10</v>
      </c>
      <c r="L22" s="158">
        <v>9.4724789373E10</v>
      </c>
      <c r="M22" s="158">
        <v>6.9613442E7</v>
      </c>
      <c r="N22" s="158" t="s">
        <v>424</v>
      </c>
      <c r="O22" s="158" t="s">
        <v>425</v>
      </c>
      <c r="P22" s="162">
        <v>12900.0</v>
      </c>
      <c r="Q22" s="158">
        <v>1.0</v>
      </c>
      <c r="R22" s="162">
        <v>12900.0</v>
      </c>
      <c r="S22" s="158">
        <v>0.0</v>
      </c>
      <c r="T22" s="162">
        <v>12900.0</v>
      </c>
      <c r="U22" s="162">
        <v>1000.0</v>
      </c>
      <c r="V22" s="158">
        <v>0.0</v>
      </c>
      <c r="W22" s="162">
        <v>1000.0</v>
      </c>
      <c r="X22" s="162">
        <v>10525.0</v>
      </c>
      <c r="Y22" s="158">
        <v>10.5</v>
      </c>
      <c r="Z22" s="158">
        <v>0.0</v>
      </c>
      <c r="AA22" s="162">
        <v>1250.0</v>
      </c>
      <c r="AB22" s="158">
        <v>125.0</v>
      </c>
    </row>
    <row r="23" hidden="1">
      <c r="A23" s="158" t="s">
        <v>420</v>
      </c>
      <c r="B23" s="159">
        <v>46131.0</v>
      </c>
      <c r="C23" s="160">
        <v>46113.0</v>
      </c>
      <c r="D23" s="159">
        <v>46128.0</v>
      </c>
      <c r="E23" s="166">
        <v>46128.0</v>
      </c>
      <c r="F23" s="158">
        <v>3.100184979494E12</v>
      </c>
      <c r="G23" s="158" t="s">
        <v>421</v>
      </c>
      <c r="H23" s="158">
        <v>2584.0</v>
      </c>
      <c r="I23" s="158" t="s">
        <v>422</v>
      </c>
      <c r="J23" s="158" t="s">
        <v>423</v>
      </c>
      <c r="K23" s="158">
        <v>1.602127277E10</v>
      </c>
      <c r="L23" s="158">
        <v>9.4724789373E10</v>
      </c>
      <c r="M23" s="158">
        <v>6.9613442E7</v>
      </c>
      <c r="N23" s="158" t="s">
        <v>424</v>
      </c>
      <c r="O23" s="158" t="s">
        <v>425</v>
      </c>
      <c r="P23" s="162">
        <v>12900.0</v>
      </c>
      <c r="Q23" s="158">
        <v>1.0</v>
      </c>
      <c r="R23" s="162">
        <v>12900.0</v>
      </c>
      <c r="S23" s="158">
        <v>0.0</v>
      </c>
      <c r="T23" s="162">
        <v>12900.0</v>
      </c>
      <c r="U23" s="162">
        <v>1000.0</v>
      </c>
      <c r="V23" s="158">
        <v>0.0</v>
      </c>
      <c r="W23" s="162">
        <v>1000.0</v>
      </c>
      <c r="X23" s="162">
        <v>10525.0</v>
      </c>
      <c r="Y23" s="158">
        <v>10.5</v>
      </c>
      <c r="Z23" s="158">
        <v>0.0</v>
      </c>
      <c r="AA23" s="162">
        <v>1250.0</v>
      </c>
      <c r="AB23" s="158">
        <v>125.0</v>
      </c>
    </row>
    <row r="24" hidden="1">
      <c r="A24" s="158" t="s">
        <v>420</v>
      </c>
      <c r="B24" s="159">
        <v>46131.0</v>
      </c>
      <c r="C24" s="160">
        <v>46113.0</v>
      </c>
      <c r="D24" s="159">
        <v>46129.0</v>
      </c>
      <c r="E24" s="166">
        <v>46129.0</v>
      </c>
      <c r="F24" s="158">
        <v>1.610018512858E13</v>
      </c>
      <c r="G24" s="158" t="s">
        <v>421</v>
      </c>
      <c r="H24" s="158">
        <v>2584.0</v>
      </c>
      <c r="I24" s="158" t="s">
        <v>422</v>
      </c>
      <c r="J24" s="158" t="s">
        <v>423</v>
      </c>
      <c r="K24" s="158">
        <v>1.602127277E10</v>
      </c>
      <c r="L24" s="158">
        <v>9.4724789373E10</v>
      </c>
      <c r="M24" s="158">
        <v>6.9613442E7</v>
      </c>
      <c r="N24" s="158" t="s">
        <v>424</v>
      </c>
      <c r="O24" s="158" t="s">
        <v>425</v>
      </c>
      <c r="P24" s="162">
        <v>12900.0</v>
      </c>
      <c r="Q24" s="158">
        <v>1.0</v>
      </c>
      <c r="R24" s="162">
        <v>12900.0</v>
      </c>
      <c r="S24" s="158">
        <v>0.0</v>
      </c>
      <c r="T24" s="162">
        <v>12900.0</v>
      </c>
      <c r="U24" s="162">
        <v>1000.0</v>
      </c>
      <c r="V24" s="158">
        <v>0.0</v>
      </c>
      <c r="W24" s="162">
        <v>1000.0</v>
      </c>
      <c r="X24" s="162">
        <v>10525.0</v>
      </c>
      <c r="Y24" s="158">
        <v>10.5</v>
      </c>
      <c r="Z24" s="158">
        <v>0.0</v>
      </c>
      <c r="AA24" s="162">
        <v>1250.0</v>
      </c>
      <c r="AB24" s="158">
        <v>125.0</v>
      </c>
    </row>
    <row r="25" hidden="1">
      <c r="A25" s="158" t="s">
        <v>420</v>
      </c>
      <c r="B25" s="159">
        <v>46131.0</v>
      </c>
      <c r="C25" s="160">
        <v>46113.0</v>
      </c>
      <c r="D25" s="159">
        <v>46129.0</v>
      </c>
      <c r="E25" s="165">
        <v>46129.0</v>
      </c>
      <c r="F25" s="158">
        <v>3.1100184766274E13</v>
      </c>
      <c r="G25" s="158" t="s">
        <v>421</v>
      </c>
      <c r="H25" s="158">
        <v>2584.0</v>
      </c>
      <c r="I25" s="158" t="s">
        <v>422</v>
      </c>
      <c r="J25" s="158" t="s">
        <v>423</v>
      </c>
      <c r="K25" s="158">
        <v>1.602127277E10</v>
      </c>
      <c r="L25" s="158">
        <v>9.4724789373E10</v>
      </c>
      <c r="M25" s="158">
        <v>6.9613442E7</v>
      </c>
      <c r="N25" s="158" t="s">
        <v>424</v>
      </c>
      <c r="O25" s="158" t="s">
        <v>425</v>
      </c>
      <c r="P25" s="162">
        <v>12900.0</v>
      </c>
      <c r="Q25" s="158">
        <v>1.0</v>
      </c>
      <c r="R25" s="162">
        <v>12900.0</v>
      </c>
      <c r="S25" s="158">
        <v>0.0</v>
      </c>
      <c r="T25" s="162">
        <v>12900.0</v>
      </c>
      <c r="U25" s="162">
        <v>1000.0</v>
      </c>
      <c r="V25" s="158">
        <v>0.0</v>
      </c>
      <c r="W25" s="162">
        <v>1000.0</v>
      </c>
      <c r="X25" s="162">
        <v>10525.0</v>
      </c>
      <c r="Y25" s="158">
        <v>10.5</v>
      </c>
      <c r="Z25" s="158">
        <v>0.0</v>
      </c>
      <c r="AA25" s="162">
        <v>1250.0</v>
      </c>
      <c r="AB25" s="158">
        <v>125.0</v>
      </c>
    </row>
    <row r="26" hidden="1">
      <c r="A26" s="158" t="s">
        <v>420</v>
      </c>
      <c r="B26" s="159">
        <v>46131.0</v>
      </c>
      <c r="C26" s="160">
        <v>46113.0</v>
      </c>
      <c r="D26" s="159">
        <v>46129.0</v>
      </c>
      <c r="E26" s="165">
        <v>46129.0</v>
      </c>
      <c r="F26" s="158">
        <v>3.1100184766274E13</v>
      </c>
      <c r="G26" s="158" t="s">
        <v>429</v>
      </c>
      <c r="H26" s="158">
        <v>2584.0</v>
      </c>
      <c r="I26" s="158" t="s">
        <v>422</v>
      </c>
      <c r="J26" s="158" t="s">
        <v>423</v>
      </c>
      <c r="K26" s="158">
        <v>1.602127277E10</v>
      </c>
      <c r="L26" s="158">
        <v>9.4724789373E10</v>
      </c>
      <c r="M26" s="158">
        <v>6.9613442E7</v>
      </c>
      <c r="N26" s="158" t="s">
        <v>424</v>
      </c>
      <c r="O26" s="158" t="s">
        <v>425</v>
      </c>
      <c r="P26" s="162">
        <v>12900.0</v>
      </c>
      <c r="Q26" s="158">
        <v>-1.0</v>
      </c>
      <c r="R26" s="162">
        <v>-12900.0</v>
      </c>
      <c r="S26" s="158">
        <v>0.0</v>
      </c>
      <c r="T26" s="162">
        <v>-12900.0</v>
      </c>
      <c r="U26" s="162">
        <v>-1000.0</v>
      </c>
      <c r="V26" s="158">
        <v>0.0</v>
      </c>
      <c r="W26" s="162">
        <v>-1000.0</v>
      </c>
      <c r="X26" s="162">
        <v>-10525.0</v>
      </c>
      <c r="Y26" s="158">
        <v>10.5</v>
      </c>
      <c r="Z26" s="158">
        <v>0.0</v>
      </c>
      <c r="AA26" s="162">
        <v>-1250.0</v>
      </c>
      <c r="AB26" s="158">
        <v>-125.0</v>
      </c>
    </row>
    <row r="27" hidden="1">
      <c r="A27" s="158" t="s">
        <v>420</v>
      </c>
      <c r="B27" s="159">
        <v>46131.0</v>
      </c>
      <c r="C27" s="160">
        <v>46113.0</v>
      </c>
      <c r="D27" s="159">
        <v>46130.0</v>
      </c>
      <c r="E27" s="166">
        <v>46130.0</v>
      </c>
      <c r="F27" s="158">
        <v>2.410018495555E13</v>
      </c>
      <c r="G27" s="158" t="s">
        <v>421</v>
      </c>
      <c r="H27" s="158">
        <v>2584.0</v>
      </c>
      <c r="I27" s="158" t="s">
        <v>422</v>
      </c>
      <c r="J27" s="158" t="s">
        <v>423</v>
      </c>
      <c r="K27" s="158">
        <v>1.602127277E10</v>
      </c>
      <c r="L27" s="158">
        <v>9.4724789373E10</v>
      </c>
      <c r="M27" s="158">
        <v>6.9613442E7</v>
      </c>
      <c r="N27" s="158" t="s">
        <v>424</v>
      </c>
      <c r="O27" s="158" t="s">
        <v>425</v>
      </c>
      <c r="P27" s="162">
        <v>12900.0</v>
      </c>
      <c r="Q27" s="158">
        <v>1.0</v>
      </c>
      <c r="R27" s="162">
        <v>12900.0</v>
      </c>
      <c r="S27" s="158">
        <v>0.0</v>
      </c>
      <c r="T27" s="162">
        <v>12900.0</v>
      </c>
      <c r="U27" s="162">
        <v>1000.0</v>
      </c>
      <c r="V27" s="158">
        <v>0.0</v>
      </c>
      <c r="W27" s="162">
        <v>1000.0</v>
      </c>
      <c r="X27" s="162">
        <v>10525.0</v>
      </c>
      <c r="Y27" s="158">
        <v>10.5</v>
      </c>
      <c r="Z27" s="158">
        <v>0.0</v>
      </c>
      <c r="AA27" s="162">
        <v>1250.0</v>
      </c>
      <c r="AB27" s="158">
        <v>125.0</v>
      </c>
    </row>
    <row r="28" hidden="1">
      <c r="A28" s="158" t="s">
        <v>420</v>
      </c>
      <c r="B28" s="159">
        <v>46131.0</v>
      </c>
      <c r="C28" s="160">
        <v>46113.0</v>
      </c>
      <c r="D28" s="159">
        <v>46131.0</v>
      </c>
      <c r="E28" s="166">
        <v>46131.0</v>
      </c>
      <c r="F28" s="158">
        <v>2.4100185064159E13</v>
      </c>
      <c r="G28" s="158" t="s">
        <v>421</v>
      </c>
      <c r="H28" s="158">
        <v>2584.0</v>
      </c>
      <c r="I28" s="158" t="s">
        <v>422</v>
      </c>
      <c r="J28" s="158" t="s">
        <v>423</v>
      </c>
      <c r="K28" s="158">
        <v>1.602127277E10</v>
      </c>
      <c r="L28" s="158">
        <v>9.4724789373E10</v>
      </c>
      <c r="M28" s="158">
        <v>6.9613442E7</v>
      </c>
      <c r="N28" s="158" t="s">
        <v>424</v>
      </c>
      <c r="O28" s="158" t="s">
        <v>425</v>
      </c>
      <c r="P28" s="162">
        <v>12900.0</v>
      </c>
      <c r="Q28" s="158">
        <v>1.0</v>
      </c>
      <c r="R28" s="162">
        <v>12900.0</v>
      </c>
      <c r="S28" s="158">
        <v>0.0</v>
      </c>
      <c r="T28" s="162">
        <v>12900.0</v>
      </c>
      <c r="U28" s="162">
        <v>1000.0</v>
      </c>
      <c r="V28" s="158">
        <v>0.0</v>
      </c>
      <c r="W28" s="162">
        <v>1000.0</v>
      </c>
      <c r="X28" s="162">
        <v>10525.0</v>
      </c>
      <c r="Y28" s="158">
        <v>10.5</v>
      </c>
      <c r="Z28" s="158">
        <v>0.0</v>
      </c>
      <c r="AA28" s="162">
        <v>1250.0</v>
      </c>
      <c r="AB28" s="158">
        <v>125.0</v>
      </c>
    </row>
    <row r="29" hidden="1">
      <c r="A29" s="158" t="s">
        <v>420</v>
      </c>
      <c r="B29" s="159">
        <v>46131.0</v>
      </c>
      <c r="C29" s="160">
        <v>46113.0</v>
      </c>
      <c r="D29" s="159">
        <v>46131.0</v>
      </c>
      <c r="E29" s="166">
        <v>46131.0</v>
      </c>
      <c r="F29" s="158">
        <v>1.9100185042637E13</v>
      </c>
      <c r="G29" s="158" t="s">
        <v>421</v>
      </c>
      <c r="H29" s="158">
        <v>2584.0</v>
      </c>
      <c r="I29" s="158" t="s">
        <v>422</v>
      </c>
      <c r="J29" s="158" t="s">
        <v>423</v>
      </c>
      <c r="K29" s="158">
        <v>1.602127277E10</v>
      </c>
      <c r="L29" s="158">
        <v>9.4724789373E10</v>
      </c>
      <c r="M29" s="158">
        <v>6.9613442E7</v>
      </c>
      <c r="N29" s="158" t="s">
        <v>424</v>
      </c>
      <c r="O29" s="158" t="s">
        <v>425</v>
      </c>
      <c r="P29" s="162">
        <v>12900.0</v>
      </c>
      <c r="Q29" s="158">
        <v>1.0</v>
      </c>
      <c r="R29" s="162">
        <v>12900.0</v>
      </c>
      <c r="S29" s="158">
        <v>0.0</v>
      </c>
      <c r="T29" s="162">
        <v>12900.0</v>
      </c>
      <c r="U29" s="162">
        <v>1000.0</v>
      </c>
      <c r="V29" s="158">
        <v>0.0</v>
      </c>
      <c r="W29" s="162">
        <v>1000.0</v>
      </c>
      <c r="X29" s="162">
        <v>10525.0</v>
      </c>
      <c r="Y29" s="158">
        <v>10.5</v>
      </c>
      <c r="Z29" s="158">
        <v>0.0</v>
      </c>
      <c r="AA29" s="162">
        <v>1250.0</v>
      </c>
      <c r="AB29" s="158">
        <v>125.0</v>
      </c>
    </row>
    <row r="30" hidden="1">
      <c r="A30" s="158" t="s">
        <v>420</v>
      </c>
      <c r="B30" s="159">
        <v>46138.0</v>
      </c>
      <c r="C30" s="160">
        <v>46113.0</v>
      </c>
      <c r="D30" s="159">
        <v>46132.0</v>
      </c>
      <c r="E30" s="166">
        <v>46132.0</v>
      </c>
      <c r="F30" s="158">
        <v>8.100185708696E12</v>
      </c>
      <c r="G30" s="158" t="s">
        <v>421</v>
      </c>
      <c r="H30" s="158">
        <v>2584.0</v>
      </c>
      <c r="I30" s="158" t="s">
        <v>422</v>
      </c>
      <c r="J30" s="158" t="s">
        <v>423</v>
      </c>
      <c r="K30" s="158">
        <v>1.602127277E10</v>
      </c>
      <c r="L30" s="158">
        <v>9.4724789373E10</v>
      </c>
      <c r="M30" s="158">
        <v>6.9613442E7</v>
      </c>
      <c r="N30" s="158" t="s">
        <v>424</v>
      </c>
      <c r="O30" s="158" t="s">
        <v>425</v>
      </c>
      <c r="P30" s="162">
        <v>12900.0</v>
      </c>
      <c r="Q30" s="158">
        <v>1.0</v>
      </c>
      <c r="R30" s="162">
        <v>12900.0</v>
      </c>
      <c r="S30" s="158">
        <v>0.0</v>
      </c>
      <c r="T30" s="162">
        <v>12900.0</v>
      </c>
      <c r="U30" s="162">
        <v>1000.0</v>
      </c>
      <c r="V30" s="158">
        <v>0.0</v>
      </c>
      <c r="W30" s="162">
        <v>1000.0</v>
      </c>
      <c r="X30" s="162">
        <v>10525.0</v>
      </c>
      <c r="Y30" s="158">
        <v>10.5</v>
      </c>
      <c r="Z30" s="158">
        <v>0.0</v>
      </c>
      <c r="AA30" s="162">
        <v>1250.0</v>
      </c>
      <c r="AB30" s="158">
        <v>125.0</v>
      </c>
    </row>
    <row r="31" hidden="1">
      <c r="A31" s="158" t="s">
        <v>420</v>
      </c>
      <c r="B31" s="159">
        <v>46138.0</v>
      </c>
      <c r="C31" s="160">
        <v>46113.0</v>
      </c>
      <c r="D31" s="159">
        <v>46133.0</v>
      </c>
      <c r="E31" s="159">
        <v>46133.0</v>
      </c>
      <c r="F31" s="158">
        <v>1.3100185298418E13</v>
      </c>
      <c r="G31" s="158" t="s">
        <v>421</v>
      </c>
      <c r="H31" s="158">
        <v>1876.0</v>
      </c>
      <c r="I31" s="158" t="s">
        <v>430</v>
      </c>
      <c r="J31" s="158" t="s">
        <v>423</v>
      </c>
      <c r="K31" s="158">
        <v>1.6063349955E10</v>
      </c>
      <c r="L31" s="158">
        <v>9.4873031408E10</v>
      </c>
      <c r="M31" s="158">
        <v>7.0897841E7</v>
      </c>
      <c r="N31" s="158" t="s">
        <v>431</v>
      </c>
      <c r="O31" s="158" t="s">
        <v>432</v>
      </c>
      <c r="P31" s="162">
        <v>6500.0</v>
      </c>
      <c r="Q31" s="158">
        <v>1.0</v>
      </c>
      <c r="R31" s="162">
        <v>6500.0</v>
      </c>
      <c r="S31" s="158">
        <v>0.0</v>
      </c>
      <c r="T31" s="162">
        <v>6500.0</v>
      </c>
      <c r="U31" s="162">
        <v>1000.0</v>
      </c>
      <c r="V31" s="158">
        <v>0.0</v>
      </c>
      <c r="W31" s="162">
        <v>1000.0</v>
      </c>
      <c r="X31" s="162">
        <v>4864.0</v>
      </c>
      <c r="Y31" s="158">
        <v>10.5</v>
      </c>
      <c r="Z31" s="158">
        <v>0.0</v>
      </c>
      <c r="AA31" s="158">
        <v>578.0</v>
      </c>
      <c r="AB31" s="158">
        <v>58.0</v>
      </c>
    </row>
    <row r="32" hidden="1">
      <c r="A32" s="158" t="s">
        <v>420</v>
      </c>
      <c r="B32" s="159">
        <v>46138.0</v>
      </c>
      <c r="C32" s="160">
        <v>46113.0</v>
      </c>
      <c r="D32" s="159">
        <v>46134.0</v>
      </c>
      <c r="E32" s="168">
        <v>46134.0</v>
      </c>
      <c r="F32" s="158">
        <v>1.0100185666315E13</v>
      </c>
      <c r="G32" s="158" t="s">
        <v>421</v>
      </c>
      <c r="H32" s="158">
        <v>2584.0</v>
      </c>
      <c r="I32" s="158" t="s">
        <v>422</v>
      </c>
      <c r="J32" s="158" t="s">
        <v>423</v>
      </c>
      <c r="K32" s="158">
        <v>1.602127277E10</v>
      </c>
      <c r="L32" s="158">
        <v>9.4724789373E10</v>
      </c>
      <c r="M32" s="158">
        <v>6.9613442E7</v>
      </c>
      <c r="N32" s="158" t="s">
        <v>424</v>
      </c>
      <c r="O32" s="158" t="s">
        <v>425</v>
      </c>
      <c r="P32" s="162">
        <v>12900.0</v>
      </c>
      <c r="Q32" s="158">
        <v>1.0</v>
      </c>
      <c r="R32" s="162">
        <v>12900.0</v>
      </c>
      <c r="S32" s="158">
        <v>0.0</v>
      </c>
      <c r="T32" s="162">
        <v>12900.0</v>
      </c>
      <c r="U32" s="162">
        <v>1000.0</v>
      </c>
      <c r="V32" s="158">
        <v>0.0</v>
      </c>
      <c r="W32" s="162">
        <v>1000.0</v>
      </c>
      <c r="X32" s="162">
        <v>10525.0</v>
      </c>
      <c r="Y32" s="158">
        <v>10.5</v>
      </c>
      <c r="Z32" s="158">
        <v>0.0</v>
      </c>
      <c r="AA32" s="162">
        <v>1250.0</v>
      </c>
      <c r="AB32" s="158">
        <v>125.0</v>
      </c>
    </row>
    <row r="33" hidden="1">
      <c r="A33" s="158" t="s">
        <v>420</v>
      </c>
      <c r="B33" s="159">
        <v>46138.0</v>
      </c>
      <c r="C33" s="160">
        <v>46113.0</v>
      </c>
      <c r="D33" s="159">
        <v>46134.0</v>
      </c>
      <c r="E33" s="168">
        <v>46134.0</v>
      </c>
      <c r="F33" s="158">
        <v>2.7100185280949E13</v>
      </c>
      <c r="G33" s="158" t="s">
        <v>421</v>
      </c>
      <c r="H33" s="158">
        <v>2584.0</v>
      </c>
      <c r="I33" s="158" t="s">
        <v>422</v>
      </c>
      <c r="J33" s="158" t="s">
        <v>423</v>
      </c>
      <c r="K33" s="158">
        <v>1.602127277E10</v>
      </c>
      <c r="L33" s="158">
        <v>9.4724789373E10</v>
      </c>
      <c r="M33" s="158">
        <v>6.9613442E7</v>
      </c>
      <c r="N33" s="158" t="s">
        <v>424</v>
      </c>
      <c r="O33" s="158" t="s">
        <v>425</v>
      </c>
      <c r="P33" s="162">
        <v>12900.0</v>
      </c>
      <c r="Q33" s="158">
        <v>1.0</v>
      </c>
      <c r="R33" s="162">
        <v>12900.0</v>
      </c>
      <c r="S33" s="158">
        <v>0.0</v>
      </c>
      <c r="T33" s="162">
        <v>12900.0</v>
      </c>
      <c r="U33" s="162">
        <v>1000.0</v>
      </c>
      <c r="V33" s="158">
        <v>0.0</v>
      </c>
      <c r="W33" s="162">
        <v>1000.0</v>
      </c>
      <c r="X33" s="162">
        <v>10525.0</v>
      </c>
      <c r="Y33" s="158">
        <v>10.5</v>
      </c>
      <c r="Z33" s="158">
        <v>0.0</v>
      </c>
      <c r="AA33" s="162">
        <v>1250.0</v>
      </c>
      <c r="AB33" s="158">
        <v>125.0</v>
      </c>
    </row>
    <row r="34" hidden="1">
      <c r="A34" s="158" t="s">
        <v>420</v>
      </c>
      <c r="B34" s="159">
        <v>46138.0</v>
      </c>
      <c r="C34" s="160">
        <v>46113.0</v>
      </c>
      <c r="D34" s="159">
        <v>46135.0</v>
      </c>
      <c r="E34" s="168">
        <v>46135.0</v>
      </c>
      <c r="F34" s="158">
        <v>1.1100185801411E13</v>
      </c>
      <c r="G34" s="158" t="s">
        <v>421</v>
      </c>
      <c r="H34" s="158">
        <v>2584.0</v>
      </c>
      <c r="I34" s="158" t="s">
        <v>422</v>
      </c>
      <c r="J34" s="158" t="s">
        <v>423</v>
      </c>
      <c r="K34" s="158">
        <v>1.602127277E10</v>
      </c>
      <c r="L34" s="158">
        <v>9.4724789373E10</v>
      </c>
      <c r="M34" s="158">
        <v>6.9613442E7</v>
      </c>
      <c r="N34" s="158" t="s">
        <v>424</v>
      </c>
      <c r="O34" s="158" t="s">
        <v>425</v>
      </c>
      <c r="P34" s="162">
        <v>12900.0</v>
      </c>
      <c r="Q34" s="158">
        <v>1.0</v>
      </c>
      <c r="R34" s="162">
        <v>12900.0</v>
      </c>
      <c r="S34" s="158">
        <v>0.0</v>
      </c>
      <c r="T34" s="162">
        <v>12900.0</v>
      </c>
      <c r="U34" s="162">
        <v>1000.0</v>
      </c>
      <c r="V34" s="158">
        <v>0.0</v>
      </c>
      <c r="W34" s="162">
        <v>1000.0</v>
      </c>
      <c r="X34" s="162">
        <v>10525.0</v>
      </c>
      <c r="Y34" s="158">
        <v>10.5</v>
      </c>
      <c r="Z34" s="158">
        <v>0.0</v>
      </c>
      <c r="AA34" s="162">
        <v>1250.0</v>
      </c>
      <c r="AB34" s="158">
        <v>125.0</v>
      </c>
    </row>
    <row r="35" hidden="1">
      <c r="A35" s="158" t="s">
        <v>420</v>
      </c>
      <c r="B35" s="159">
        <v>46138.0</v>
      </c>
      <c r="C35" s="160">
        <v>46113.0</v>
      </c>
      <c r="D35" s="159">
        <v>46135.0</v>
      </c>
      <c r="E35" s="165">
        <v>46135.0</v>
      </c>
      <c r="F35" s="158">
        <v>1.4100186140656E13</v>
      </c>
      <c r="G35" s="158" t="s">
        <v>421</v>
      </c>
      <c r="H35" s="158">
        <v>2584.0</v>
      </c>
      <c r="I35" s="158" t="s">
        <v>422</v>
      </c>
      <c r="J35" s="158" t="s">
        <v>423</v>
      </c>
      <c r="K35" s="158">
        <v>1.602127277E10</v>
      </c>
      <c r="L35" s="158">
        <v>9.4724789373E10</v>
      </c>
      <c r="M35" s="158">
        <v>6.9613442E7</v>
      </c>
      <c r="N35" s="158" t="s">
        <v>424</v>
      </c>
      <c r="O35" s="158" t="s">
        <v>425</v>
      </c>
      <c r="P35" s="162">
        <v>12900.0</v>
      </c>
      <c r="Q35" s="158">
        <v>1.0</v>
      </c>
      <c r="R35" s="162">
        <v>12900.0</v>
      </c>
      <c r="S35" s="158">
        <v>0.0</v>
      </c>
      <c r="T35" s="162">
        <v>12900.0</v>
      </c>
      <c r="U35" s="162">
        <v>1000.0</v>
      </c>
      <c r="V35" s="158">
        <v>0.0</v>
      </c>
      <c r="W35" s="162">
        <v>1000.0</v>
      </c>
      <c r="X35" s="162">
        <v>10525.0</v>
      </c>
      <c r="Y35" s="158">
        <v>10.5</v>
      </c>
      <c r="Z35" s="158">
        <v>0.0</v>
      </c>
      <c r="AA35" s="162">
        <v>1250.0</v>
      </c>
      <c r="AB35" s="158">
        <v>125.0</v>
      </c>
    </row>
    <row r="36" hidden="1">
      <c r="A36" s="158" t="s">
        <v>420</v>
      </c>
      <c r="B36" s="159">
        <v>46138.0</v>
      </c>
      <c r="C36" s="160">
        <v>46113.0</v>
      </c>
      <c r="D36" s="159">
        <v>46135.0</v>
      </c>
      <c r="E36" s="165">
        <v>46135.0</v>
      </c>
      <c r="F36" s="158">
        <v>1.4100179261352E13</v>
      </c>
      <c r="G36" s="158" t="s">
        <v>429</v>
      </c>
      <c r="H36" s="158">
        <v>2584.0</v>
      </c>
      <c r="I36" s="158" t="s">
        <v>422</v>
      </c>
      <c r="J36" s="158" t="s">
        <v>423</v>
      </c>
      <c r="K36" s="158">
        <v>1.602127277E10</v>
      </c>
      <c r="L36" s="158">
        <v>9.4724789373E10</v>
      </c>
      <c r="M36" s="158">
        <v>6.9613442E7</v>
      </c>
      <c r="N36" s="158" t="s">
        <v>424</v>
      </c>
      <c r="O36" s="158" t="s">
        <v>425</v>
      </c>
      <c r="P36" s="162">
        <v>12900.0</v>
      </c>
      <c r="Q36" s="158">
        <v>-1.0</v>
      </c>
      <c r="R36" s="162">
        <v>-12900.0</v>
      </c>
      <c r="S36" s="158">
        <v>0.0</v>
      </c>
      <c r="T36" s="162">
        <v>-12900.0</v>
      </c>
      <c r="U36" s="162">
        <v>-1000.0</v>
      </c>
      <c r="V36" s="158">
        <v>0.0</v>
      </c>
      <c r="W36" s="162">
        <v>-1000.0</v>
      </c>
      <c r="X36" s="162">
        <v>-10525.0</v>
      </c>
      <c r="Y36" s="158">
        <v>10.5</v>
      </c>
      <c r="Z36" s="158">
        <v>0.0</v>
      </c>
      <c r="AA36" s="162">
        <v>-1250.0</v>
      </c>
      <c r="AB36" s="158">
        <v>-125.0</v>
      </c>
    </row>
    <row r="37" hidden="1">
      <c r="A37" s="158" t="s">
        <v>420</v>
      </c>
      <c r="B37" s="159">
        <v>46138.0</v>
      </c>
      <c r="C37" s="160">
        <v>46113.0</v>
      </c>
      <c r="D37" s="159">
        <v>46135.0</v>
      </c>
      <c r="E37" s="168">
        <v>46135.0</v>
      </c>
      <c r="F37" s="158">
        <v>3.2100185968619E13</v>
      </c>
      <c r="G37" s="158" t="s">
        <v>421</v>
      </c>
      <c r="H37" s="158">
        <v>2584.0</v>
      </c>
      <c r="I37" s="158" t="s">
        <v>422</v>
      </c>
      <c r="J37" s="158" t="s">
        <v>423</v>
      </c>
      <c r="K37" s="158">
        <v>1.602127277E10</v>
      </c>
      <c r="L37" s="158">
        <v>9.4724789373E10</v>
      </c>
      <c r="M37" s="158">
        <v>6.9613442E7</v>
      </c>
      <c r="N37" s="158" t="s">
        <v>424</v>
      </c>
      <c r="O37" s="158" t="s">
        <v>425</v>
      </c>
      <c r="P37" s="162">
        <v>12900.0</v>
      </c>
      <c r="Q37" s="158">
        <v>1.0</v>
      </c>
      <c r="R37" s="162">
        <v>12900.0</v>
      </c>
      <c r="S37" s="158">
        <v>0.0</v>
      </c>
      <c r="T37" s="162">
        <v>12900.0</v>
      </c>
      <c r="U37" s="162">
        <v>1000.0</v>
      </c>
      <c r="V37" s="158">
        <v>0.0</v>
      </c>
      <c r="W37" s="162">
        <v>1000.0</v>
      </c>
      <c r="X37" s="162">
        <v>10525.0</v>
      </c>
      <c r="Y37" s="158">
        <v>10.5</v>
      </c>
      <c r="Z37" s="158">
        <v>0.0</v>
      </c>
      <c r="AA37" s="162">
        <v>1250.0</v>
      </c>
      <c r="AB37" s="158">
        <v>125.0</v>
      </c>
    </row>
    <row r="38" hidden="1">
      <c r="A38" s="158" t="s">
        <v>420</v>
      </c>
      <c r="B38" s="159">
        <v>46138.0</v>
      </c>
      <c r="C38" s="160">
        <v>46113.0</v>
      </c>
      <c r="D38" s="159">
        <v>46136.0</v>
      </c>
      <c r="E38" s="159">
        <v>46136.0</v>
      </c>
      <c r="F38" s="158">
        <v>2.910018631784E13</v>
      </c>
      <c r="G38" s="158" t="s">
        <v>421</v>
      </c>
      <c r="H38" s="158">
        <v>1876.0</v>
      </c>
      <c r="I38" s="158" t="s">
        <v>430</v>
      </c>
      <c r="J38" s="158" t="s">
        <v>423</v>
      </c>
      <c r="K38" s="158">
        <v>1.6063349955E10</v>
      </c>
      <c r="L38" s="158">
        <v>9.4873031408E10</v>
      </c>
      <c r="M38" s="158">
        <v>7.0897841E7</v>
      </c>
      <c r="N38" s="158" t="s">
        <v>431</v>
      </c>
      <c r="O38" s="158" t="s">
        <v>432</v>
      </c>
      <c r="P38" s="162">
        <v>6500.0</v>
      </c>
      <c r="Q38" s="158">
        <v>1.0</v>
      </c>
      <c r="R38" s="162">
        <v>6500.0</v>
      </c>
      <c r="S38" s="158">
        <v>0.0</v>
      </c>
      <c r="T38" s="162">
        <v>6500.0</v>
      </c>
      <c r="U38" s="162">
        <v>1000.0</v>
      </c>
      <c r="V38" s="158">
        <v>0.0</v>
      </c>
      <c r="W38" s="162">
        <v>1000.0</v>
      </c>
      <c r="X38" s="162">
        <v>4864.0</v>
      </c>
      <c r="Y38" s="158">
        <v>10.5</v>
      </c>
      <c r="Z38" s="158">
        <v>0.0</v>
      </c>
      <c r="AA38" s="158">
        <v>578.0</v>
      </c>
      <c r="AB38" s="158">
        <v>58.0</v>
      </c>
    </row>
    <row r="39" hidden="1">
      <c r="A39" s="158" t="s">
        <v>420</v>
      </c>
      <c r="B39" s="159">
        <v>46138.0</v>
      </c>
      <c r="C39" s="160">
        <v>46113.0</v>
      </c>
      <c r="D39" s="159">
        <v>46136.0</v>
      </c>
      <c r="E39" s="159">
        <v>46136.0</v>
      </c>
      <c r="F39" s="158">
        <v>1.7100186195042E13</v>
      </c>
      <c r="G39" s="158" t="s">
        <v>421</v>
      </c>
      <c r="H39" s="158">
        <v>2584.0</v>
      </c>
      <c r="I39" s="158" t="s">
        <v>422</v>
      </c>
      <c r="J39" s="158" t="s">
        <v>423</v>
      </c>
      <c r="K39" s="158">
        <v>1.6154020954E10</v>
      </c>
      <c r="L39" s="158">
        <v>9.5235941477E10</v>
      </c>
      <c r="M39" s="158">
        <v>7.223032E7</v>
      </c>
      <c r="N39" s="158" t="s">
        <v>433</v>
      </c>
      <c r="O39" s="158" t="s">
        <v>434</v>
      </c>
      <c r="P39" s="162">
        <v>19800.0</v>
      </c>
      <c r="Q39" s="158">
        <v>1.0</v>
      </c>
      <c r="R39" s="162">
        <v>19800.0</v>
      </c>
      <c r="S39" s="158">
        <v>0.0</v>
      </c>
      <c r="T39" s="162">
        <v>19800.0</v>
      </c>
      <c r="U39" s="162">
        <v>1000.0</v>
      </c>
      <c r="V39" s="158">
        <v>0.0</v>
      </c>
      <c r="W39" s="162">
        <v>1000.0</v>
      </c>
      <c r="X39" s="162">
        <v>16629.0</v>
      </c>
      <c r="Y39" s="158">
        <v>10.5</v>
      </c>
      <c r="Z39" s="158">
        <v>0.0</v>
      </c>
      <c r="AA39" s="162">
        <v>1974.0</v>
      </c>
      <c r="AB39" s="158">
        <v>197.0</v>
      </c>
    </row>
    <row r="40" hidden="1">
      <c r="A40" s="158" t="s">
        <v>420</v>
      </c>
      <c r="B40" s="159">
        <v>46138.0</v>
      </c>
      <c r="C40" s="160">
        <v>46113.0</v>
      </c>
      <c r="D40" s="159">
        <v>46137.0</v>
      </c>
      <c r="E40" s="159">
        <v>46137.0</v>
      </c>
      <c r="F40" s="158">
        <v>1.5100186518541E13</v>
      </c>
      <c r="G40" s="158" t="s">
        <v>421</v>
      </c>
      <c r="H40" s="158">
        <v>1876.0</v>
      </c>
      <c r="I40" s="158" t="s">
        <v>430</v>
      </c>
      <c r="J40" s="158" t="s">
        <v>423</v>
      </c>
      <c r="K40" s="158">
        <v>1.6063349955E10</v>
      </c>
      <c r="L40" s="158">
        <v>9.4873031408E10</v>
      </c>
      <c r="M40" s="158">
        <v>7.0897841E7</v>
      </c>
      <c r="N40" s="158" t="s">
        <v>431</v>
      </c>
      <c r="O40" s="158" t="s">
        <v>432</v>
      </c>
      <c r="P40" s="162">
        <v>6500.0</v>
      </c>
      <c r="Q40" s="158">
        <v>1.0</v>
      </c>
      <c r="R40" s="162">
        <v>6500.0</v>
      </c>
      <c r="S40" s="158">
        <v>0.0</v>
      </c>
      <c r="T40" s="162">
        <v>6500.0</v>
      </c>
      <c r="U40" s="162">
        <v>1000.0</v>
      </c>
      <c r="V40" s="158">
        <v>0.0</v>
      </c>
      <c r="W40" s="162">
        <v>1000.0</v>
      </c>
      <c r="X40" s="162">
        <v>4864.0</v>
      </c>
      <c r="Y40" s="158">
        <v>10.5</v>
      </c>
      <c r="Z40" s="158">
        <v>0.0</v>
      </c>
      <c r="AA40" s="158">
        <v>578.0</v>
      </c>
      <c r="AB40" s="158">
        <v>58.0</v>
      </c>
    </row>
    <row r="41" hidden="1">
      <c r="A41" s="158" t="s">
        <v>420</v>
      </c>
      <c r="B41" s="159">
        <v>46138.0</v>
      </c>
      <c r="C41" s="160">
        <v>46113.0</v>
      </c>
      <c r="D41" s="159">
        <v>46138.0</v>
      </c>
      <c r="E41" s="159">
        <v>46138.0</v>
      </c>
      <c r="F41" s="158">
        <v>3.100186990395E12</v>
      </c>
      <c r="G41" s="158" t="s">
        <v>421</v>
      </c>
      <c r="H41" s="158">
        <v>1876.0</v>
      </c>
      <c r="I41" s="158" t="s">
        <v>430</v>
      </c>
      <c r="J41" s="158" t="s">
        <v>423</v>
      </c>
      <c r="K41" s="158">
        <v>1.6063349955E10</v>
      </c>
      <c r="L41" s="158">
        <v>9.4873031408E10</v>
      </c>
      <c r="M41" s="158">
        <v>7.0897841E7</v>
      </c>
      <c r="N41" s="158" t="s">
        <v>431</v>
      </c>
      <c r="O41" s="158" t="s">
        <v>432</v>
      </c>
      <c r="P41" s="162">
        <v>6500.0</v>
      </c>
      <c r="Q41" s="158">
        <v>1.0</v>
      </c>
      <c r="R41" s="162">
        <v>6500.0</v>
      </c>
      <c r="S41" s="158">
        <v>0.0</v>
      </c>
      <c r="T41" s="162">
        <v>6500.0</v>
      </c>
      <c r="U41" s="162">
        <v>1000.0</v>
      </c>
      <c r="V41" s="158">
        <v>0.0</v>
      </c>
      <c r="W41" s="162">
        <v>1000.0</v>
      </c>
      <c r="X41" s="162">
        <v>4864.0</v>
      </c>
      <c r="Y41" s="158">
        <v>10.5</v>
      </c>
      <c r="Z41" s="158">
        <v>0.0</v>
      </c>
      <c r="AA41" s="158">
        <v>578.0</v>
      </c>
      <c r="AB41" s="158">
        <v>58.0</v>
      </c>
    </row>
    <row r="42" hidden="1">
      <c r="A42" s="158" t="s">
        <v>420</v>
      </c>
      <c r="B42" s="159">
        <v>46138.0</v>
      </c>
      <c r="C42" s="160">
        <v>46113.0</v>
      </c>
      <c r="D42" s="159">
        <v>46138.0</v>
      </c>
      <c r="E42" s="159">
        <v>46138.0</v>
      </c>
      <c r="F42" s="158">
        <v>4.100187011065E12</v>
      </c>
      <c r="G42" s="158" t="s">
        <v>421</v>
      </c>
      <c r="H42" s="158">
        <v>2621.0</v>
      </c>
      <c r="I42" s="158" t="s">
        <v>435</v>
      </c>
      <c r="J42" s="158" t="s">
        <v>423</v>
      </c>
      <c r="K42" s="158">
        <v>1.614987683E10</v>
      </c>
      <c r="L42" s="158">
        <v>9.5218978125E10</v>
      </c>
      <c r="M42" s="158">
        <v>7.2230265E7</v>
      </c>
      <c r="N42" s="158" t="s">
        <v>436</v>
      </c>
      <c r="O42" s="158" t="s">
        <v>437</v>
      </c>
      <c r="P42" s="162">
        <v>20800.0</v>
      </c>
      <c r="Q42" s="158">
        <v>1.0</v>
      </c>
      <c r="R42" s="162">
        <v>20800.0</v>
      </c>
      <c r="S42" s="158">
        <v>0.0</v>
      </c>
      <c r="T42" s="162">
        <v>20800.0</v>
      </c>
      <c r="U42" s="162">
        <v>1000.0</v>
      </c>
      <c r="V42" s="158">
        <v>0.0</v>
      </c>
      <c r="W42" s="162">
        <v>1000.0</v>
      </c>
      <c r="X42" s="162">
        <v>17513.0</v>
      </c>
      <c r="Y42" s="158">
        <v>10.5</v>
      </c>
      <c r="Z42" s="158">
        <v>0.0</v>
      </c>
      <c r="AA42" s="162">
        <v>2079.0</v>
      </c>
      <c r="AB42" s="158">
        <v>208.0</v>
      </c>
    </row>
    <row r="43" hidden="1">
      <c r="A43" s="158" t="s">
        <v>420</v>
      </c>
      <c r="B43" s="159">
        <v>46138.0</v>
      </c>
      <c r="C43" s="160">
        <v>46113.0</v>
      </c>
      <c r="D43" s="159">
        <v>46138.0</v>
      </c>
      <c r="E43" s="165">
        <v>46138.0</v>
      </c>
      <c r="F43" s="158">
        <v>1.5100186726014E13</v>
      </c>
      <c r="G43" s="158" t="s">
        <v>421</v>
      </c>
      <c r="H43" s="158">
        <v>2584.0</v>
      </c>
      <c r="I43" s="158" t="s">
        <v>422</v>
      </c>
      <c r="J43" s="158" t="s">
        <v>423</v>
      </c>
      <c r="K43" s="158">
        <v>1.602127277E10</v>
      </c>
      <c r="L43" s="158">
        <v>9.4724789373E10</v>
      </c>
      <c r="M43" s="158">
        <v>6.9613442E7</v>
      </c>
      <c r="N43" s="158" t="s">
        <v>424</v>
      </c>
      <c r="O43" s="158" t="s">
        <v>425</v>
      </c>
      <c r="P43" s="162">
        <v>12900.0</v>
      </c>
      <c r="Q43" s="158">
        <v>1.0</v>
      </c>
      <c r="R43" s="162">
        <v>12900.0</v>
      </c>
      <c r="S43" s="158">
        <v>0.0</v>
      </c>
      <c r="T43" s="162">
        <v>12900.0</v>
      </c>
      <c r="U43" s="162">
        <v>1000.0</v>
      </c>
      <c r="V43" s="158">
        <v>0.0</v>
      </c>
      <c r="W43" s="162">
        <v>1000.0</v>
      </c>
      <c r="X43" s="162">
        <v>10525.0</v>
      </c>
      <c r="Y43" s="158">
        <v>10.5</v>
      </c>
      <c r="Z43" s="158">
        <v>0.0</v>
      </c>
      <c r="AA43" s="162">
        <v>1250.0</v>
      </c>
      <c r="AB43" s="158">
        <v>125.0</v>
      </c>
    </row>
    <row r="44" hidden="1">
      <c r="A44" s="158" t="s">
        <v>420</v>
      </c>
      <c r="B44" s="159">
        <v>46142.0</v>
      </c>
      <c r="C44" s="160">
        <v>46113.0</v>
      </c>
      <c r="D44" s="159">
        <v>46140.0</v>
      </c>
      <c r="E44" s="165">
        <v>46140.0</v>
      </c>
      <c r="F44" s="158">
        <v>1.0100185666315E13</v>
      </c>
      <c r="G44" s="158" t="s">
        <v>429</v>
      </c>
      <c r="H44" s="158">
        <v>2584.0</v>
      </c>
      <c r="I44" s="158" t="s">
        <v>422</v>
      </c>
      <c r="J44" s="158" t="s">
        <v>423</v>
      </c>
      <c r="K44" s="158">
        <v>1.602127277E10</v>
      </c>
      <c r="L44" s="158">
        <v>9.4724789373E10</v>
      </c>
      <c r="M44" s="158">
        <v>6.9613442E7</v>
      </c>
      <c r="N44" s="158" t="s">
        <v>424</v>
      </c>
      <c r="O44" s="158" t="s">
        <v>425</v>
      </c>
      <c r="P44" s="162">
        <v>12900.0</v>
      </c>
      <c r="Q44" s="158">
        <v>-1.0</v>
      </c>
      <c r="R44" s="162">
        <v>-12900.0</v>
      </c>
      <c r="S44" s="158">
        <v>0.0</v>
      </c>
      <c r="T44" s="162">
        <v>-12900.0</v>
      </c>
      <c r="U44" s="162">
        <v>-1000.0</v>
      </c>
      <c r="V44" s="158">
        <v>0.0</v>
      </c>
      <c r="W44" s="162">
        <v>-1000.0</v>
      </c>
      <c r="X44" s="162">
        <v>-10525.0</v>
      </c>
      <c r="Y44" s="158">
        <v>10.5</v>
      </c>
      <c r="Z44" s="158">
        <v>0.0</v>
      </c>
      <c r="AA44" s="162">
        <v>-1250.0</v>
      </c>
      <c r="AB44" s="158">
        <v>-125.0</v>
      </c>
    </row>
    <row r="45" hidden="1">
      <c r="A45" s="158" t="s">
        <v>420</v>
      </c>
      <c r="B45" s="159">
        <v>46142.0</v>
      </c>
      <c r="C45" s="160">
        <v>46113.0</v>
      </c>
      <c r="D45" s="159">
        <v>46140.0</v>
      </c>
      <c r="E45" s="168">
        <v>46140.0</v>
      </c>
      <c r="F45" s="158">
        <v>7.100187428232E12</v>
      </c>
      <c r="G45" s="158" t="s">
        <v>421</v>
      </c>
      <c r="H45" s="158">
        <v>2584.0</v>
      </c>
      <c r="I45" s="158" t="s">
        <v>422</v>
      </c>
      <c r="J45" s="158" t="s">
        <v>423</v>
      </c>
      <c r="K45" s="158">
        <v>1.602127277E10</v>
      </c>
      <c r="L45" s="158">
        <v>9.4724789373E10</v>
      </c>
      <c r="M45" s="158">
        <v>6.9613442E7</v>
      </c>
      <c r="N45" s="158" t="s">
        <v>424</v>
      </c>
      <c r="O45" s="158" t="s">
        <v>425</v>
      </c>
      <c r="P45" s="162">
        <v>12900.0</v>
      </c>
      <c r="Q45" s="158">
        <v>1.0</v>
      </c>
      <c r="R45" s="162">
        <v>12900.0</v>
      </c>
      <c r="S45" s="158">
        <v>0.0</v>
      </c>
      <c r="T45" s="162">
        <v>12900.0</v>
      </c>
      <c r="U45" s="162">
        <v>1000.0</v>
      </c>
      <c r="V45" s="158">
        <v>0.0</v>
      </c>
      <c r="W45" s="162">
        <v>1000.0</v>
      </c>
      <c r="X45" s="162">
        <v>10525.0</v>
      </c>
      <c r="Y45" s="158">
        <v>10.5</v>
      </c>
      <c r="Z45" s="158">
        <v>0.0</v>
      </c>
      <c r="AA45" s="162">
        <v>1250.0</v>
      </c>
      <c r="AB45" s="158">
        <v>125.0</v>
      </c>
    </row>
    <row r="46" hidden="1">
      <c r="A46" s="158" t="s">
        <v>420</v>
      </c>
      <c r="B46" s="159">
        <v>46142.0</v>
      </c>
      <c r="C46" s="160">
        <v>46113.0</v>
      </c>
      <c r="D46" s="159">
        <v>46140.0</v>
      </c>
      <c r="E46" s="168">
        <v>46140.0</v>
      </c>
      <c r="F46" s="158">
        <v>9.100186820342E12</v>
      </c>
      <c r="G46" s="158" t="s">
        <v>421</v>
      </c>
      <c r="H46" s="158">
        <v>2584.0</v>
      </c>
      <c r="I46" s="158" t="s">
        <v>422</v>
      </c>
      <c r="J46" s="158" t="s">
        <v>423</v>
      </c>
      <c r="K46" s="158">
        <v>1.602127277E10</v>
      </c>
      <c r="L46" s="158">
        <v>9.4724789373E10</v>
      </c>
      <c r="M46" s="158">
        <v>6.9613442E7</v>
      </c>
      <c r="N46" s="158" t="s">
        <v>424</v>
      </c>
      <c r="O46" s="158" t="s">
        <v>425</v>
      </c>
      <c r="P46" s="162">
        <v>12900.0</v>
      </c>
      <c r="Q46" s="158">
        <v>1.0</v>
      </c>
      <c r="R46" s="162">
        <v>12900.0</v>
      </c>
      <c r="S46" s="158">
        <v>0.0</v>
      </c>
      <c r="T46" s="162">
        <v>12900.0</v>
      </c>
      <c r="U46" s="162">
        <v>1000.0</v>
      </c>
      <c r="V46" s="158">
        <v>0.0</v>
      </c>
      <c r="W46" s="162">
        <v>1000.0</v>
      </c>
      <c r="X46" s="162">
        <v>10525.0</v>
      </c>
      <c r="Y46" s="158">
        <v>10.5</v>
      </c>
      <c r="Z46" s="158">
        <v>0.0</v>
      </c>
      <c r="AA46" s="162">
        <v>1250.0</v>
      </c>
      <c r="AB46" s="158">
        <v>125.0</v>
      </c>
    </row>
    <row r="47" hidden="1">
      <c r="A47" s="158" t="s">
        <v>420</v>
      </c>
      <c r="B47" s="159">
        <v>46142.0</v>
      </c>
      <c r="C47" s="160">
        <v>46113.0</v>
      </c>
      <c r="D47" s="159">
        <v>46141.0</v>
      </c>
      <c r="E47" s="168">
        <v>46141.0</v>
      </c>
      <c r="F47" s="158">
        <v>2.8100186879039E13</v>
      </c>
      <c r="G47" s="158" t="s">
        <v>421</v>
      </c>
      <c r="H47" s="158">
        <v>2584.0</v>
      </c>
      <c r="I47" s="158" t="s">
        <v>422</v>
      </c>
      <c r="J47" s="158" t="s">
        <v>423</v>
      </c>
      <c r="K47" s="158">
        <v>1.602127277E10</v>
      </c>
      <c r="L47" s="158">
        <v>9.4724789373E10</v>
      </c>
      <c r="M47" s="158">
        <v>6.9613442E7</v>
      </c>
      <c r="N47" s="158" t="s">
        <v>424</v>
      </c>
      <c r="O47" s="158" t="s">
        <v>425</v>
      </c>
      <c r="P47" s="162">
        <v>12900.0</v>
      </c>
      <c r="Q47" s="158">
        <v>1.0</v>
      </c>
      <c r="R47" s="162">
        <v>12900.0</v>
      </c>
      <c r="S47" s="158">
        <v>0.0</v>
      </c>
      <c r="T47" s="162">
        <v>12900.0</v>
      </c>
      <c r="U47" s="162">
        <v>1000.0</v>
      </c>
      <c r="V47" s="158">
        <v>0.0</v>
      </c>
      <c r="W47" s="162">
        <v>1000.0</v>
      </c>
      <c r="X47" s="162">
        <v>10525.0</v>
      </c>
      <c r="Y47" s="158">
        <v>10.5</v>
      </c>
      <c r="Z47" s="158">
        <v>0.0</v>
      </c>
      <c r="AA47" s="162">
        <v>1250.0</v>
      </c>
      <c r="AB47" s="158">
        <v>125.0</v>
      </c>
    </row>
    <row r="48" hidden="1">
      <c r="A48" s="158" t="s">
        <v>420</v>
      </c>
      <c r="B48" s="159">
        <v>46142.0</v>
      </c>
      <c r="C48" s="160">
        <v>46113.0</v>
      </c>
      <c r="D48" s="159">
        <v>46141.0</v>
      </c>
      <c r="E48" s="168">
        <v>46141.0</v>
      </c>
      <c r="F48" s="158">
        <v>1.9100187170125E13</v>
      </c>
      <c r="G48" s="158" t="s">
        <v>421</v>
      </c>
      <c r="H48" s="158">
        <v>2584.0</v>
      </c>
      <c r="I48" s="158" t="s">
        <v>422</v>
      </c>
      <c r="J48" s="158" t="s">
        <v>423</v>
      </c>
      <c r="K48" s="158">
        <v>1.602127277E10</v>
      </c>
      <c r="L48" s="158">
        <v>9.4724789373E10</v>
      </c>
      <c r="M48" s="158">
        <v>6.9613442E7</v>
      </c>
      <c r="N48" s="158" t="s">
        <v>424</v>
      </c>
      <c r="O48" s="158" t="s">
        <v>425</v>
      </c>
      <c r="P48" s="162">
        <v>12900.0</v>
      </c>
      <c r="Q48" s="158">
        <v>1.0</v>
      </c>
      <c r="R48" s="162">
        <v>12900.0</v>
      </c>
      <c r="S48" s="158">
        <v>0.0</v>
      </c>
      <c r="T48" s="162">
        <v>12900.0</v>
      </c>
      <c r="U48" s="162">
        <v>1000.0</v>
      </c>
      <c r="V48" s="158">
        <v>0.0</v>
      </c>
      <c r="W48" s="162">
        <v>1000.0</v>
      </c>
      <c r="X48" s="162">
        <v>10525.0</v>
      </c>
      <c r="Y48" s="158">
        <v>10.5</v>
      </c>
      <c r="Z48" s="158">
        <v>0.0</v>
      </c>
      <c r="AA48" s="162">
        <v>1250.0</v>
      </c>
      <c r="AB48" s="158">
        <v>125.0</v>
      </c>
    </row>
    <row r="49" hidden="1">
      <c r="A49" s="158" t="s">
        <v>420</v>
      </c>
      <c r="B49" s="159">
        <v>46142.0</v>
      </c>
      <c r="C49" s="160">
        <v>46113.0</v>
      </c>
      <c r="D49" s="159">
        <v>46141.0</v>
      </c>
      <c r="E49" s="168">
        <v>46141.0</v>
      </c>
      <c r="F49" s="158">
        <v>1.6100187758149E13</v>
      </c>
      <c r="G49" s="158" t="s">
        <v>421</v>
      </c>
      <c r="H49" s="158">
        <v>2584.0</v>
      </c>
      <c r="I49" s="158" t="s">
        <v>422</v>
      </c>
      <c r="J49" s="158" t="s">
        <v>423</v>
      </c>
      <c r="K49" s="158">
        <v>1.602127277E10</v>
      </c>
      <c r="L49" s="158">
        <v>9.4724789373E10</v>
      </c>
      <c r="M49" s="158">
        <v>6.9613442E7</v>
      </c>
      <c r="N49" s="158" t="s">
        <v>424</v>
      </c>
      <c r="O49" s="158" t="s">
        <v>425</v>
      </c>
      <c r="P49" s="162">
        <v>12900.0</v>
      </c>
      <c r="Q49" s="158">
        <v>1.0</v>
      </c>
      <c r="R49" s="162">
        <v>12900.0</v>
      </c>
      <c r="S49" s="158">
        <v>0.0</v>
      </c>
      <c r="T49" s="162">
        <v>12900.0</v>
      </c>
      <c r="U49" s="162">
        <v>1000.0</v>
      </c>
      <c r="V49" s="158">
        <v>0.0</v>
      </c>
      <c r="W49" s="162">
        <v>1000.0</v>
      </c>
      <c r="X49" s="162">
        <v>10525.0</v>
      </c>
      <c r="Y49" s="158">
        <v>10.5</v>
      </c>
      <c r="Z49" s="158">
        <v>0.0</v>
      </c>
      <c r="AA49" s="162">
        <v>1250.0</v>
      </c>
      <c r="AB49" s="158">
        <v>125.0</v>
      </c>
    </row>
    <row r="50" hidden="1">
      <c r="A50" s="158" t="s">
        <v>420</v>
      </c>
      <c r="B50" s="159">
        <v>46142.0</v>
      </c>
      <c r="C50" s="160">
        <v>46113.0</v>
      </c>
      <c r="D50" s="159">
        <v>46141.0</v>
      </c>
      <c r="E50" s="168">
        <v>46141.0</v>
      </c>
      <c r="F50" s="158">
        <v>2.4100187337714E13</v>
      </c>
      <c r="G50" s="158" t="s">
        <v>421</v>
      </c>
      <c r="H50" s="158">
        <v>2584.0</v>
      </c>
      <c r="I50" s="158" t="s">
        <v>422</v>
      </c>
      <c r="J50" s="158" t="s">
        <v>423</v>
      </c>
      <c r="K50" s="158">
        <v>1.602127277E10</v>
      </c>
      <c r="L50" s="158">
        <v>9.4724789373E10</v>
      </c>
      <c r="M50" s="158">
        <v>6.9613442E7</v>
      </c>
      <c r="N50" s="158" t="s">
        <v>424</v>
      </c>
      <c r="O50" s="158" t="s">
        <v>425</v>
      </c>
      <c r="P50" s="162">
        <v>12900.0</v>
      </c>
      <c r="Q50" s="158">
        <v>1.0</v>
      </c>
      <c r="R50" s="162">
        <v>12900.0</v>
      </c>
      <c r="S50" s="158">
        <v>0.0</v>
      </c>
      <c r="T50" s="162">
        <v>12900.0</v>
      </c>
      <c r="U50" s="162">
        <v>1000.0</v>
      </c>
      <c r="V50" s="158">
        <v>0.0</v>
      </c>
      <c r="W50" s="162">
        <v>1000.0</v>
      </c>
      <c r="X50" s="162">
        <v>10525.0</v>
      </c>
      <c r="Y50" s="158">
        <v>10.5</v>
      </c>
      <c r="Z50" s="158">
        <v>0.0</v>
      </c>
      <c r="AA50" s="162">
        <v>1250.0</v>
      </c>
      <c r="AB50" s="158">
        <v>125.0</v>
      </c>
    </row>
    <row r="51" hidden="1">
      <c r="A51" s="158" t="s">
        <v>420</v>
      </c>
      <c r="B51" s="159">
        <v>46142.0</v>
      </c>
      <c r="C51" s="160">
        <v>46113.0</v>
      </c>
      <c r="D51" s="159">
        <v>46141.0</v>
      </c>
      <c r="E51" s="159">
        <v>46141.0</v>
      </c>
      <c r="F51" s="158">
        <v>1.8100187016693E13</v>
      </c>
      <c r="G51" s="158" t="s">
        <v>421</v>
      </c>
      <c r="H51" s="158">
        <v>2621.0</v>
      </c>
      <c r="I51" s="158" t="s">
        <v>435</v>
      </c>
      <c r="J51" s="158" t="s">
        <v>423</v>
      </c>
      <c r="K51" s="158">
        <v>1.614987683E10</v>
      </c>
      <c r="L51" s="158">
        <v>9.5218978125E10</v>
      </c>
      <c r="M51" s="158">
        <v>7.2230265E7</v>
      </c>
      <c r="N51" s="158" t="s">
        <v>436</v>
      </c>
      <c r="O51" s="158" t="s">
        <v>437</v>
      </c>
      <c r="P51" s="162">
        <v>20800.0</v>
      </c>
      <c r="Q51" s="158">
        <v>1.0</v>
      </c>
      <c r="R51" s="162">
        <v>20800.0</v>
      </c>
      <c r="S51" s="158">
        <v>0.0</v>
      </c>
      <c r="T51" s="162">
        <v>20800.0</v>
      </c>
      <c r="U51" s="162">
        <v>1000.0</v>
      </c>
      <c r="V51" s="158">
        <v>0.0</v>
      </c>
      <c r="W51" s="162">
        <v>1000.0</v>
      </c>
      <c r="X51" s="162">
        <v>17513.0</v>
      </c>
      <c r="Y51" s="158">
        <v>10.5</v>
      </c>
      <c r="Z51" s="158">
        <v>0.0</v>
      </c>
      <c r="AA51" s="162">
        <v>2079.0</v>
      </c>
      <c r="AB51" s="158">
        <v>208.0</v>
      </c>
    </row>
    <row r="52" hidden="1">
      <c r="A52" s="158" t="s">
        <v>420</v>
      </c>
      <c r="B52" s="159">
        <v>46142.0</v>
      </c>
      <c r="C52" s="160">
        <v>46113.0</v>
      </c>
      <c r="D52" s="159">
        <v>46141.0</v>
      </c>
      <c r="E52" s="168">
        <v>46141.0</v>
      </c>
      <c r="F52" s="158">
        <v>2.8100186997663E13</v>
      </c>
      <c r="G52" s="158" t="s">
        <v>421</v>
      </c>
      <c r="H52" s="158">
        <v>2584.0</v>
      </c>
      <c r="I52" s="158" t="s">
        <v>422</v>
      </c>
      <c r="J52" s="158" t="s">
        <v>423</v>
      </c>
      <c r="K52" s="158">
        <v>1.602127277E10</v>
      </c>
      <c r="L52" s="158">
        <v>9.4724789373E10</v>
      </c>
      <c r="M52" s="158">
        <v>6.9613442E7</v>
      </c>
      <c r="N52" s="158" t="s">
        <v>424</v>
      </c>
      <c r="O52" s="158" t="s">
        <v>425</v>
      </c>
      <c r="P52" s="162">
        <v>12900.0</v>
      </c>
      <c r="Q52" s="158">
        <v>1.0</v>
      </c>
      <c r="R52" s="162">
        <v>12900.0</v>
      </c>
      <c r="S52" s="158">
        <v>0.0</v>
      </c>
      <c r="T52" s="162">
        <v>12900.0</v>
      </c>
      <c r="U52" s="162">
        <v>1000.0</v>
      </c>
      <c r="V52" s="158">
        <v>0.0</v>
      </c>
      <c r="W52" s="162">
        <v>1000.0</v>
      </c>
      <c r="X52" s="162">
        <v>10525.0</v>
      </c>
      <c r="Y52" s="158">
        <v>10.5</v>
      </c>
      <c r="Z52" s="158">
        <v>0.0</v>
      </c>
      <c r="AA52" s="162">
        <v>1250.0</v>
      </c>
      <c r="AB52" s="158">
        <v>125.0</v>
      </c>
    </row>
    <row r="53" hidden="1">
      <c r="A53" s="158" t="s">
        <v>420</v>
      </c>
      <c r="B53" s="159">
        <v>46142.0</v>
      </c>
      <c r="C53" s="160">
        <v>46113.0</v>
      </c>
      <c r="D53" s="159">
        <v>46141.0</v>
      </c>
      <c r="E53" s="168">
        <v>46141.0</v>
      </c>
      <c r="F53" s="158">
        <v>2.0100187461404E13</v>
      </c>
      <c r="G53" s="158" t="s">
        <v>421</v>
      </c>
      <c r="H53" s="158">
        <v>2584.0</v>
      </c>
      <c r="I53" s="158" t="s">
        <v>422</v>
      </c>
      <c r="J53" s="158" t="s">
        <v>423</v>
      </c>
      <c r="K53" s="158">
        <v>1.602127277E10</v>
      </c>
      <c r="L53" s="158">
        <v>9.4724789373E10</v>
      </c>
      <c r="M53" s="158">
        <v>6.9613442E7</v>
      </c>
      <c r="N53" s="158" t="s">
        <v>424</v>
      </c>
      <c r="O53" s="158" t="s">
        <v>425</v>
      </c>
      <c r="P53" s="162">
        <v>12900.0</v>
      </c>
      <c r="Q53" s="158">
        <v>1.0</v>
      </c>
      <c r="R53" s="162">
        <v>12900.0</v>
      </c>
      <c r="S53" s="158">
        <v>0.0</v>
      </c>
      <c r="T53" s="162">
        <v>12900.0</v>
      </c>
      <c r="U53" s="162">
        <v>1000.0</v>
      </c>
      <c r="V53" s="158">
        <v>0.0</v>
      </c>
      <c r="W53" s="162">
        <v>1000.0</v>
      </c>
      <c r="X53" s="162">
        <v>10525.0</v>
      </c>
      <c r="Y53" s="158">
        <v>10.5</v>
      </c>
      <c r="Z53" s="158">
        <v>0.0</v>
      </c>
      <c r="AA53" s="162">
        <v>1250.0</v>
      </c>
      <c r="AB53" s="158">
        <v>125.0</v>
      </c>
    </row>
    <row r="54" hidden="1">
      <c r="A54" s="158" t="s">
        <v>420</v>
      </c>
      <c r="B54" s="159">
        <v>46142.0</v>
      </c>
      <c r="C54" s="160">
        <v>46113.0</v>
      </c>
      <c r="D54" s="159">
        <v>46142.0</v>
      </c>
      <c r="E54" s="169">
        <v>46142.0</v>
      </c>
      <c r="F54" s="158">
        <v>1.2100187104605E13</v>
      </c>
      <c r="G54" s="158" t="s">
        <v>421</v>
      </c>
      <c r="H54" s="158">
        <v>2584.0</v>
      </c>
      <c r="I54" s="158" t="s">
        <v>422</v>
      </c>
      <c r="J54" s="158" t="s">
        <v>423</v>
      </c>
      <c r="K54" s="158">
        <v>1.6140005242E10</v>
      </c>
      <c r="L54" s="158">
        <v>9.5179673142E10</v>
      </c>
      <c r="M54" s="158">
        <v>7.176054E7</v>
      </c>
      <c r="N54" s="158" t="s">
        <v>424</v>
      </c>
      <c r="O54" s="158" t="s">
        <v>425</v>
      </c>
      <c r="P54" s="162">
        <v>10710.0</v>
      </c>
      <c r="Q54" s="158">
        <v>1.0</v>
      </c>
      <c r="R54" s="162">
        <v>10710.0</v>
      </c>
      <c r="S54" s="158">
        <v>0.0</v>
      </c>
      <c r="T54" s="162">
        <v>10710.0</v>
      </c>
      <c r="U54" s="158">
        <v>0.0</v>
      </c>
      <c r="V54" s="158">
        <v>0.0</v>
      </c>
      <c r="W54" s="158">
        <v>0.0</v>
      </c>
      <c r="X54" s="162">
        <v>9472.0</v>
      </c>
      <c r="Y54" s="158">
        <v>10.5</v>
      </c>
      <c r="Z54" s="158">
        <v>0.0</v>
      </c>
      <c r="AA54" s="162">
        <v>1125.0</v>
      </c>
      <c r="AB54" s="158">
        <v>113.0</v>
      </c>
    </row>
    <row r="55" hidden="1">
      <c r="A55" s="158" t="s">
        <v>420</v>
      </c>
      <c r="B55" s="159">
        <v>46145.0</v>
      </c>
      <c r="C55" s="160">
        <v>46143.0</v>
      </c>
      <c r="D55" s="159">
        <v>46143.0</v>
      </c>
      <c r="E55" s="168">
        <v>46143.0</v>
      </c>
      <c r="F55" s="158">
        <v>3.2100187538861E13</v>
      </c>
      <c r="G55" s="158" t="s">
        <v>421</v>
      </c>
      <c r="H55" s="158">
        <v>2584.0</v>
      </c>
      <c r="I55" s="158" t="s">
        <v>422</v>
      </c>
      <c r="J55" s="158" t="s">
        <v>423</v>
      </c>
      <c r="K55" s="158">
        <v>1.602127277E10</v>
      </c>
      <c r="L55" s="158">
        <v>9.4724789373E10</v>
      </c>
      <c r="M55" s="158">
        <v>6.9613442E7</v>
      </c>
      <c r="N55" s="158" t="s">
        <v>424</v>
      </c>
      <c r="O55" s="158" t="s">
        <v>425</v>
      </c>
      <c r="P55" s="162">
        <v>12900.0</v>
      </c>
      <c r="Q55" s="158">
        <v>1.0</v>
      </c>
      <c r="R55" s="162">
        <v>12900.0</v>
      </c>
      <c r="S55" s="158">
        <v>0.0</v>
      </c>
      <c r="T55" s="162">
        <v>12900.0</v>
      </c>
      <c r="U55" s="158">
        <v>0.0</v>
      </c>
      <c r="V55" s="158">
        <v>0.0</v>
      </c>
      <c r="W55" s="158">
        <v>0.0</v>
      </c>
      <c r="X55" s="162">
        <v>11409.0</v>
      </c>
      <c r="Y55" s="158">
        <v>10.5</v>
      </c>
      <c r="Z55" s="158">
        <v>0.0</v>
      </c>
      <c r="AA55" s="162">
        <v>1355.0</v>
      </c>
      <c r="AB55" s="158">
        <v>136.0</v>
      </c>
    </row>
    <row r="56" hidden="1">
      <c r="A56" s="158" t="s">
        <v>420</v>
      </c>
      <c r="B56" s="159">
        <v>46145.0</v>
      </c>
      <c r="C56" s="160">
        <v>46143.0</v>
      </c>
      <c r="D56" s="159">
        <v>46143.0</v>
      </c>
      <c r="E56" s="159">
        <v>46143.0</v>
      </c>
      <c r="F56" s="158">
        <v>1.1100187602134E13</v>
      </c>
      <c r="G56" s="158" t="s">
        <v>421</v>
      </c>
      <c r="H56" s="158">
        <v>2584.0</v>
      </c>
      <c r="I56" s="158" t="s">
        <v>422</v>
      </c>
      <c r="J56" s="158" t="s">
        <v>423</v>
      </c>
      <c r="K56" s="158">
        <v>1.6099312814E10</v>
      </c>
      <c r="L56" s="158">
        <v>9.501851033E10</v>
      </c>
      <c r="M56" s="158">
        <v>7.0897741E7</v>
      </c>
      <c r="N56" s="158" t="s">
        <v>438</v>
      </c>
      <c r="O56" s="158" t="s">
        <v>439</v>
      </c>
      <c r="P56" s="162">
        <v>9500.0</v>
      </c>
      <c r="Q56" s="158">
        <v>2.0</v>
      </c>
      <c r="R56" s="162">
        <v>19000.0</v>
      </c>
      <c r="S56" s="158">
        <v>0.0</v>
      </c>
      <c r="T56" s="162">
        <v>19000.0</v>
      </c>
      <c r="U56" s="162">
        <v>1500.0</v>
      </c>
      <c r="V56" s="158">
        <v>0.0</v>
      </c>
      <c r="W56" s="162">
        <v>1500.0</v>
      </c>
      <c r="X56" s="162">
        <v>15478.0</v>
      </c>
      <c r="Y56" s="158">
        <v>10.5</v>
      </c>
      <c r="Z56" s="158">
        <v>0.0</v>
      </c>
      <c r="AA56" s="162">
        <v>1838.0</v>
      </c>
      <c r="AB56" s="158">
        <v>184.0</v>
      </c>
    </row>
    <row r="57" hidden="1">
      <c r="A57" s="158" t="s">
        <v>420</v>
      </c>
      <c r="B57" s="159">
        <v>46145.0</v>
      </c>
      <c r="C57" s="160">
        <v>46143.0</v>
      </c>
      <c r="D57" s="159">
        <v>46144.0</v>
      </c>
      <c r="E57" s="165">
        <v>46144.0</v>
      </c>
      <c r="F57" s="158">
        <v>1.9100187767422E13</v>
      </c>
      <c r="G57" s="158" t="s">
        <v>421</v>
      </c>
      <c r="H57" s="158">
        <v>2584.0</v>
      </c>
      <c r="I57" s="158" t="s">
        <v>422</v>
      </c>
      <c r="J57" s="158" t="s">
        <v>423</v>
      </c>
      <c r="K57" s="158">
        <v>1.602127277E10</v>
      </c>
      <c r="L57" s="158">
        <v>9.4724789373E10</v>
      </c>
      <c r="M57" s="158">
        <v>6.9613442E7</v>
      </c>
      <c r="N57" s="158" t="s">
        <v>424</v>
      </c>
      <c r="O57" s="158" t="s">
        <v>425</v>
      </c>
      <c r="P57" s="162">
        <v>12900.0</v>
      </c>
      <c r="Q57" s="158">
        <v>1.0</v>
      </c>
      <c r="R57" s="162">
        <v>12900.0</v>
      </c>
      <c r="S57" s="158">
        <v>0.0</v>
      </c>
      <c r="T57" s="162">
        <v>12900.0</v>
      </c>
      <c r="U57" s="162">
        <v>1000.0</v>
      </c>
      <c r="V57" s="158">
        <v>0.0</v>
      </c>
      <c r="W57" s="162">
        <v>1000.0</v>
      </c>
      <c r="X57" s="162">
        <v>10525.0</v>
      </c>
      <c r="Y57" s="158">
        <v>10.5</v>
      </c>
      <c r="Z57" s="158">
        <v>0.0</v>
      </c>
      <c r="AA57" s="162">
        <v>1250.0</v>
      </c>
      <c r="AB57" s="158">
        <v>125.0</v>
      </c>
    </row>
    <row r="58" hidden="1">
      <c r="A58" s="158" t="s">
        <v>420</v>
      </c>
      <c r="B58" s="159">
        <v>46145.0</v>
      </c>
      <c r="C58" s="160">
        <v>46143.0</v>
      </c>
      <c r="D58" s="159">
        <v>46144.0</v>
      </c>
      <c r="E58" s="165">
        <v>46144.0</v>
      </c>
      <c r="F58" s="158">
        <v>1.9100187767422E13</v>
      </c>
      <c r="G58" s="158" t="s">
        <v>429</v>
      </c>
      <c r="H58" s="158">
        <v>2584.0</v>
      </c>
      <c r="I58" s="158" t="s">
        <v>422</v>
      </c>
      <c r="J58" s="158" t="s">
        <v>423</v>
      </c>
      <c r="K58" s="158">
        <v>1.602127277E10</v>
      </c>
      <c r="L58" s="158">
        <v>9.4724789373E10</v>
      </c>
      <c r="M58" s="158">
        <v>6.9613442E7</v>
      </c>
      <c r="N58" s="158" t="s">
        <v>424</v>
      </c>
      <c r="O58" s="158" t="s">
        <v>425</v>
      </c>
      <c r="P58" s="162">
        <v>12900.0</v>
      </c>
      <c r="Q58" s="158">
        <v>-1.0</v>
      </c>
      <c r="R58" s="162">
        <v>-12900.0</v>
      </c>
      <c r="S58" s="158">
        <v>0.0</v>
      </c>
      <c r="T58" s="162">
        <v>-12900.0</v>
      </c>
      <c r="U58" s="162">
        <v>-1000.0</v>
      </c>
      <c r="V58" s="158">
        <v>0.0</v>
      </c>
      <c r="W58" s="162">
        <v>-1000.0</v>
      </c>
      <c r="X58" s="162">
        <v>-10525.0</v>
      </c>
      <c r="Y58" s="158">
        <v>10.5</v>
      </c>
      <c r="Z58" s="158">
        <v>0.0</v>
      </c>
      <c r="AA58" s="162">
        <v>-1250.0</v>
      </c>
      <c r="AB58" s="158">
        <v>-125.0</v>
      </c>
    </row>
    <row r="59" hidden="1">
      <c r="A59" s="158" t="s">
        <v>420</v>
      </c>
      <c r="B59" s="159">
        <v>46145.0</v>
      </c>
      <c r="C59" s="160">
        <v>46143.0</v>
      </c>
      <c r="D59" s="159">
        <v>46144.0</v>
      </c>
      <c r="E59" s="169">
        <v>46144.0</v>
      </c>
      <c r="F59" s="158">
        <v>4.100188229694E12</v>
      </c>
      <c r="G59" s="158" t="s">
        <v>421</v>
      </c>
      <c r="H59" s="158">
        <v>2584.0</v>
      </c>
      <c r="I59" s="158" t="s">
        <v>422</v>
      </c>
      <c r="J59" s="158" t="s">
        <v>423</v>
      </c>
      <c r="K59" s="158">
        <v>1.6180319032E10</v>
      </c>
      <c r="L59" s="158">
        <v>9.5339751647E10</v>
      </c>
      <c r="M59" s="158">
        <v>7.3000399E7</v>
      </c>
      <c r="N59" s="158" t="s">
        <v>424</v>
      </c>
      <c r="O59" s="158" t="s">
        <v>425</v>
      </c>
      <c r="P59" s="162">
        <v>9520.0</v>
      </c>
      <c r="Q59" s="158">
        <v>1.0</v>
      </c>
      <c r="R59" s="162">
        <v>9520.0</v>
      </c>
      <c r="S59" s="158">
        <v>0.0</v>
      </c>
      <c r="T59" s="162">
        <v>9520.0</v>
      </c>
      <c r="U59" s="158">
        <v>0.0</v>
      </c>
      <c r="V59" s="158">
        <v>0.0</v>
      </c>
      <c r="W59" s="158">
        <v>0.0</v>
      </c>
      <c r="X59" s="162">
        <v>8420.0</v>
      </c>
      <c r="Y59" s="158">
        <v>10.5</v>
      </c>
      <c r="Z59" s="158">
        <v>0.0</v>
      </c>
      <c r="AA59" s="162">
        <v>1000.0</v>
      </c>
      <c r="AB59" s="158">
        <v>100.0</v>
      </c>
    </row>
    <row r="60" hidden="1">
      <c r="A60" s="158" t="s">
        <v>420</v>
      </c>
      <c r="B60" s="159">
        <v>46145.0</v>
      </c>
      <c r="C60" s="160">
        <v>46143.0</v>
      </c>
      <c r="D60" s="159">
        <v>46144.0</v>
      </c>
      <c r="E60" s="168">
        <v>46144.0</v>
      </c>
      <c r="F60" s="158">
        <v>2.100187269805E12</v>
      </c>
      <c r="G60" s="158" t="s">
        <v>421</v>
      </c>
      <c r="H60" s="158">
        <v>2584.0</v>
      </c>
      <c r="I60" s="158" t="s">
        <v>422</v>
      </c>
      <c r="J60" s="158" t="s">
        <v>423</v>
      </c>
      <c r="K60" s="158">
        <v>1.602127277E10</v>
      </c>
      <c r="L60" s="158">
        <v>9.4724789373E10</v>
      </c>
      <c r="M60" s="158">
        <v>6.9613442E7</v>
      </c>
      <c r="N60" s="158" t="s">
        <v>424</v>
      </c>
      <c r="O60" s="158" t="s">
        <v>425</v>
      </c>
      <c r="P60" s="162">
        <v>12900.0</v>
      </c>
      <c r="Q60" s="158">
        <v>2.0</v>
      </c>
      <c r="R60" s="162">
        <v>25800.0</v>
      </c>
      <c r="S60" s="158">
        <v>0.0</v>
      </c>
      <c r="T60" s="162">
        <v>25800.0</v>
      </c>
      <c r="U60" s="162">
        <v>1000.0</v>
      </c>
      <c r="V60" s="158">
        <v>0.0</v>
      </c>
      <c r="W60" s="162">
        <v>1000.0</v>
      </c>
      <c r="X60" s="162">
        <v>21936.0</v>
      </c>
      <c r="Y60" s="158">
        <v>10.5</v>
      </c>
      <c r="Z60" s="158">
        <v>0.0</v>
      </c>
      <c r="AA60" s="162">
        <v>2604.0</v>
      </c>
      <c r="AB60" s="158">
        <v>260.0</v>
      </c>
    </row>
    <row r="61" hidden="1">
      <c r="A61" s="158" t="s">
        <v>420</v>
      </c>
      <c r="B61" s="159">
        <v>46145.0</v>
      </c>
      <c r="C61" s="160">
        <v>46143.0</v>
      </c>
      <c r="D61" s="159">
        <v>46144.0</v>
      </c>
      <c r="E61" s="168">
        <v>46144.0</v>
      </c>
      <c r="F61" s="158">
        <v>2.100187313031E12</v>
      </c>
      <c r="G61" s="158" t="s">
        <v>421</v>
      </c>
      <c r="H61" s="158">
        <v>2584.0</v>
      </c>
      <c r="I61" s="158" t="s">
        <v>422</v>
      </c>
      <c r="J61" s="158" t="s">
        <v>423</v>
      </c>
      <c r="K61" s="158">
        <v>1.602127277E10</v>
      </c>
      <c r="L61" s="158">
        <v>9.4724789373E10</v>
      </c>
      <c r="M61" s="158">
        <v>6.9613442E7</v>
      </c>
      <c r="N61" s="158" t="s">
        <v>424</v>
      </c>
      <c r="O61" s="158" t="s">
        <v>425</v>
      </c>
      <c r="P61" s="162">
        <v>12900.0</v>
      </c>
      <c r="Q61" s="158">
        <v>1.0</v>
      </c>
      <c r="R61" s="162">
        <v>12900.0</v>
      </c>
      <c r="S61" s="158">
        <v>0.0</v>
      </c>
      <c r="T61" s="162">
        <v>12900.0</v>
      </c>
      <c r="U61" s="162">
        <v>1000.0</v>
      </c>
      <c r="V61" s="158">
        <v>0.0</v>
      </c>
      <c r="W61" s="162">
        <v>1000.0</v>
      </c>
      <c r="X61" s="162">
        <v>10525.0</v>
      </c>
      <c r="Y61" s="158">
        <v>10.5</v>
      </c>
      <c r="Z61" s="158">
        <v>0.0</v>
      </c>
      <c r="AA61" s="162">
        <v>1250.0</v>
      </c>
      <c r="AB61" s="158">
        <v>125.0</v>
      </c>
    </row>
    <row r="62" hidden="1">
      <c r="A62" s="158" t="s">
        <v>420</v>
      </c>
      <c r="B62" s="159">
        <v>46145.0</v>
      </c>
      <c r="C62" s="160">
        <v>46143.0</v>
      </c>
      <c r="D62" s="159">
        <v>46144.0</v>
      </c>
      <c r="E62" s="159">
        <v>46144.0</v>
      </c>
      <c r="F62" s="158">
        <v>3.010018817795E13</v>
      </c>
      <c r="G62" s="158" t="s">
        <v>421</v>
      </c>
      <c r="H62" s="158">
        <v>2584.0</v>
      </c>
      <c r="I62" s="158" t="s">
        <v>422</v>
      </c>
      <c r="J62" s="158" t="s">
        <v>423</v>
      </c>
      <c r="K62" s="158">
        <v>1.6099312814E10</v>
      </c>
      <c r="L62" s="158">
        <v>9.501851033E10</v>
      </c>
      <c r="M62" s="158">
        <v>7.0897741E7</v>
      </c>
      <c r="N62" s="158" t="s">
        <v>438</v>
      </c>
      <c r="O62" s="158" t="s">
        <v>439</v>
      </c>
      <c r="P62" s="162">
        <v>9500.0</v>
      </c>
      <c r="Q62" s="158">
        <v>1.0</v>
      </c>
      <c r="R62" s="162">
        <v>9500.0</v>
      </c>
      <c r="S62" s="158">
        <v>0.0</v>
      </c>
      <c r="T62" s="162">
        <v>9500.0</v>
      </c>
      <c r="U62" s="162">
        <v>1500.0</v>
      </c>
      <c r="V62" s="158">
        <v>0.0</v>
      </c>
      <c r="W62" s="162">
        <v>1500.0</v>
      </c>
      <c r="X62" s="162">
        <v>7076.0</v>
      </c>
      <c r="Y62" s="158">
        <v>10.5</v>
      </c>
      <c r="Z62" s="158">
        <v>0.0</v>
      </c>
      <c r="AA62" s="158">
        <v>840.0</v>
      </c>
      <c r="AB62" s="158">
        <v>84.0</v>
      </c>
    </row>
    <row r="63" hidden="1">
      <c r="A63" s="158" t="s">
        <v>420</v>
      </c>
      <c r="B63" s="159">
        <v>46145.0</v>
      </c>
      <c r="C63" s="160">
        <v>46143.0</v>
      </c>
      <c r="D63" s="159">
        <v>46144.0</v>
      </c>
      <c r="E63" s="168">
        <v>46144.0</v>
      </c>
      <c r="F63" s="158">
        <v>9.100187673982E12</v>
      </c>
      <c r="G63" s="158" t="s">
        <v>421</v>
      </c>
      <c r="H63" s="158">
        <v>2584.0</v>
      </c>
      <c r="I63" s="158" t="s">
        <v>422</v>
      </c>
      <c r="J63" s="158" t="s">
        <v>423</v>
      </c>
      <c r="K63" s="158">
        <v>1.602127277E10</v>
      </c>
      <c r="L63" s="158">
        <v>9.4724789373E10</v>
      </c>
      <c r="M63" s="158">
        <v>6.9613442E7</v>
      </c>
      <c r="N63" s="158" t="s">
        <v>424</v>
      </c>
      <c r="O63" s="158" t="s">
        <v>425</v>
      </c>
      <c r="P63" s="162">
        <v>12900.0</v>
      </c>
      <c r="Q63" s="158">
        <v>1.0</v>
      </c>
      <c r="R63" s="162">
        <v>12900.0</v>
      </c>
      <c r="S63" s="158">
        <v>0.0</v>
      </c>
      <c r="T63" s="162">
        <v>12900.0</v>
      </c>
      <c r="U63" s="162">
        <v>1000.0</v>
      </c>
      <c r="V63" s="158">
        <v>0.0</v>
      </c>
      <c r="W63" s="162">
        <v>1000.0</v>
      </c>
      <c r="X63" s="162">
        <v>10525.0</v>
      </c>
      <c r="Y63" s="158">
        <v>10.5</v>
      </c>
      <c r="Z63" s="158">
        <v>0.0</v>
      </c>
      <c r="AA63" s="162">
        <v>1250.0</v>
      </c>
      <c r="AB63" s="158">
        <v>125.0</v>
      </c>
    </row>
    <row r="64" hidden="1">
      <c r="A64" s="158" t="s">
        <v>420</v>
      </c>
      <c r="B64" s="159">
        <v>46145.0</v>
      </c>
      <c r="C64" s="160">
        <v>46143.0</v>
      </c>
      <c r="D64" s="159">
        <v>46145.0</v>
      </c>
      <c r="E64" s="159">
        <v>46145.0</v>
      </c>
      <c r="F64" s="158">
        <v>1.9100188025234E13</v>
      </c>
      <c r="G64" s="158" t="s">
        <v>421</v>
      </c>
      <c r="H64" s="158">
        <v>2584.0</v>
      </c>
      <c r="I64" s="158" t="s">
        <v>422</v>
      </c>
      <c r="J64" s="158" t="s">
        <v>423</v>
      </c>
      <c r="K64" s="158">
        <v>1.6099312814E10</v>
      </c>
      <c r="L64" s="158">
        <v>9.501851033E10</v>
      </c>
      <c r="M64" s="158">
        <v>7.0897741E7</v>
      </c>
      <c r="N64" s="158" t="s">
        <v>438</v>
      </c>
      <c r="O64" s="158" t="s">
        <v>439</v>
      </c>
      <c r="P64" s="162">
        <v>9500.0</v>
      </c>
      <c r="Q64" s="158">
        <v>1.0</v>
      </c>
      <c r="R64" s="162">
        <v>9500.0</v>
      </c>
      <c r="S64" s="158">
        <v>0.0</v>
      </c>
      <c r="T64" s="162">
        <v>9500.0</v>
      </c>
      <c r="U64" s="162">
        <v>1500.0</v>
      </c>
      <c r="V64" s="158">
        <v>0.0</v>
      </c>
      <c r="W64" s="162">
        <v>1500.0</v>
      </c>
      <c r="X64" s="162">
        <v>7076.0</v>
      </c>
      <c r="Y64" s="158">
        <v>10.5</v>
      </c>
      <c r="Z64" s="158">
        <v>0.0</v>
      </c>
      <c r="AA64" s="158">
        <v>840.0</v>
      </c>
      <c r="AB64" s="158">
        <v>84.0</v>
      </c>
    </row>
    <row r="65" hidden="1">
      <c r="A65" s="158" t="s">
        <v>420</v>
      </c>
      <c r="B65" s="159">
        <v>46145.0</v>
      </c>
      <c r="C65" s="160">
        <v>46143.0</v>
      </c>
      <c r="D65" s="159">
        <v>46145.0</v>
      </c>
      <c r="E65" s="168">
        <v>46145.0</v>
      </c>
      <c r="F65" s="158">
        <v>2.100187486896E12</v>
      </c>
      <c r="G65" s="158" t="s">
        <v>421</v>
      </c>
      <c r="H65" s="158">
        <v>2584.0</v>
      </c>
      <c r="I65" s="158" t="s">
        <v>422</v>
      </c>
      <c r="J65" s="158" t="s">
        <v>423</v>
      </c>
      <c r="K65" s="158">
        <v>1.602127277E10</v>
      </c>
      <c r="L65" s="158">
        <v>9.4724789373E10</v>
      </c>
      <c r="M65" s="158">
        <v>6.9613442E7</v>
      </c>
      <c r="N65" s="158" t="s">
        <v>424</v>
      </c>
      <c r="O65" s="158" t="s">
        <v>425</v>
      </c>
      <c r="P65" s="162">
        <v>12900.0</v>
      </c>
      <c r="Q65" s="158">
        <v>1.0</v>
      </c>
      <c r="R65" s="162">
        <v>12900.0</v>
      </c>
      <c r="S65" s="158">
        <v>0.0</v>
      </c>
      <c r="T65" s="162">
        <v>12900.0</v>
      </c>
      <c r="U65" s="162">
        <v>1000.0</v>
      </c>
      <c r="V65" s="158">
        <v>0.0</v>
      </c>
      <c r="W65" s="162">
        <v>1000.0</v>
      </c>
      <c r="X65" s="162">
        <v>10525.0</v>
      </c>
      <c r="Y65" s="158">
        <v>10.5</v>
      </c>
      <c r="Z65" s="158">
        <v>0.0</v>
      </c>
      <c r="AA65" s="162">
        <v>1250.0</v>
      </c>
      <c r="AB65" s="158">
        <v>125.0</v>
      </c>
    </row>
    <row r="66" hidden="1">
      <c r="A66" s="158" t="s">
        <v>420</v>
      </c>
      <c r="B66" s="159">
        <v>46145.0</v>
      </c>
      <c r="C66" s="160">
        <v>46143.0</v>
      </c>
      <c r="D66" s="159">
        <v>46145.0</v>
      </c>
      <c r="E66" s="170">
        <v>46145.0</v>
      </c>
      <c r="F66" s="158">
        <v>2.1100188482162E13</v>
      </c>
      <c r="G66" s="158" t="s">
        <v>421</v>
      </c>
      <c r="H66" s="158">
        <v>2584.0</v>
      </c>
      <c r="I66" s="158" t="s">
        <v>422</v>
      </c>
      <c r="J66" s="158" t="s">
        <v>423</v>
      </c>
      <c r="K66" s="158">
        <v>1.602127277E10</v>
      </c>
      <c r="L66" s="158">
        <v>9.4724789373E10</v>
      </c>
      <c r="M66" s="158">
        <v>6.9613442E7</v>
      </c>
      <c r="N66" s="158" t="s">
        <v>424</v>
      </c>
      <c r="O66" s="158" t="s">
        <v>425</v>
      </c>
      <c r="P66" s="162">
        <v>12900.0</v>
      </c>
      <c r="Q66" s="158">
        <v>1.0</v>
      </c>
      <c r="R66" s="162">
        <v>12900.0</v>
      </c>
      <c r="S66" s="158">
        <v>0.0</v>
      </c>
      <c r="T66" s="162">
        <v>12900.0</v>
      </c>
      <c r="U66" s="162">
        <v>1000.0</v>
      </c>
      <c r="V66" s="158">
        <v>0.0</v>
      </c>
      <c r="W66" s="162">
        <v>1000.0</v>
      </c>
      <c r="X66" s="162">
        <v>10525.0</v>
      </c>
      <c r="Y66" s="158">
        <v>10.5</v>
      </c>
      <c r="Z66" s="158">
        <v>0.0</v>
      </c>
      <c r="AA66" s="162">
        <v>1250.0</v>
      </c>
      <c r="AB66" s="158">
        <v>125.0</v>
      </c>
    </row>
    <row r="67" hidden="1">
      <c r="A67" s="158" t="s">
        <v>420</v>
      </c>
      <c r="B67" s="159">
        <v>46152.0</v>
      </c>
      <c r="C67" s="160">
        <v>46143.0</v>
      </c>
      <c r="D67" s="159">
        <v>46146.0</v>
      </c>
      <c r="E67" s="159">
        <v>46146.0</v>
      </c>
      <c r="F67" s="158">
        <v>2.710018763309E13</v>
      </c>
      <c r="G67" s="158" t="s">
        <v>421</v>
      </c>
      <c r="H67" s="158">
        <v>9395.0</v>
      </c>
      <c r="I67" s="158" t="s">
        <v>440</v>
      </c>
      <c r="J67" s="158" t="s">
        <v>423</v>
      </c>
      <c r="K67" s="158">
        <v>1.6174979045E10</v>
      </c>
      <c r="L67" s="158">
        <v>9.5318158389E10</v>
      </c>
      <c r="M67" s="158">
        <v>7.2864477E7</v>
      </c>
      <c r="N67" s="158" t="s">
        <v>441</v>
      </c>
      <c r="O67" s="158" t="s">
        <v>442</v>
      </c>
      <c r="P67" s="162">
        <v>6200.0</v>
      </c>
      <c r="Q67" s="158">
        <v>1.0</v>
      </c>
      <c r="R67" s="162">
        <v>6200.0</v>
      </c>
      <c r="S67" s="158">
        <v>0.0</v>
      </c>
      <c r="T67" s="162">
        <v>6200.0</v>
      </c>
      <c r="U67" s="162">
        <v>1000.0</v>
      </c>
      <c r="V67" s="158">
        <v>0.0</v>
      </c>
      <c r="W67" s="162">
        <v>1000.0</v>
      </c>
      <c r="X67" s="162">
        <v>4582.0</v>
      </c>
      <c r="Y67" s="158">
        <v>10.8</v>
      </c>
      <c r="Z67" s="158">
        <v>0.0</v>
      </c>
      <c r="AA67" s="158">
        <v>562.0</v>
      </c>
      <c r="AB67" s="158">
        <v>56.0</v>
      </c>
    </row>
    <row r="68" hidden="1">
      <c r="A68" s="158" t="s">
        <v>420</v>
      </c>
      <c r="B68" s="159">
        <v>46152.0</v>
      </c>
      <c r="C68" s="160">
        <v>46143.0</v>
      </c>
      <c r="D68" s="159">
        <v>46146.0</v>
      </c>
      <c r="E68" s="170">
        <v>46146.0</v>
      </c>
      <c r="F68" s="158">
        <v>1.0100188105825E13</v>
      </c>
      <c r="G68" s="158" t="s">
        <v>421</v>
      </c>
      <c r="H68" s="158">
        <v>2584.0</v>
      </c>
      <c r="I68" s="158" t="s">
        <v>422</v>
      </c>
      <c r="J68" s="158" t="s">
        <v>423</v>
      </c>
      <c r="K68" s="158">
        <v>1.602127277E10</v>
      </c>
      <c r="L68" s="158">
        <v>9.4724789373E10</v>
      </c>
      <c r="M68" s="158">
        <v>6.9613442E7</v>
      </c>
      <c r="N68" s="158" t="s">
        <v>424</v>
      </c>
      <c r="O68" s="158" t="s">
        <v>425</v>
      </c>
      <c r="P68" s="162">
        <v>12900.0</v>
      </c>
      <c r="Q68" s="158">
        <v>1.0</v>
      </c>
      <c r="R68" s="162">
        <v>12900.0</v>
      </c>
      <c r="S68" s="158">
        <v>0.0</v>
      </c>
      <c r="T68" s="162">
        <v>12900.0</v>
      </c>
      <c r="U68" s="162">
        <v>1000.0</v>
      </c>
      <c r="V68" s="158">
        <v>0.0</v>
      </c>
      <c r="W68" s="162">
        <v>1000.0</v>
      </c>
      <c r="X68" s="162">
        <v>10525.0</v>
      </c>
      <c r="Y68" s="158">
        <v>10.5</v>
      </c>
      <c r="Z68" s="158">
        <v>0.0</v>
      </c>
      <c r="AA68" s="162">
        <v>1250.0</v>
      </c>
      <c r="AB68" s="158">
        <v>125.0</v>
      </c>
    </row>
    <row r="69" hidden="1">
      <c r="A69" s="158" t="s">
        <v>420</v>
      </c>
      <c r="B69" s="159">
        <v>46152.0</v>
      </c>
      <c r="C69" s="160">
        <v>46143.0</v>
      </c>
      <c r="D69" s="159">
        <v>46147.0</v>
      </c>
      <c r="E69" s="170">
        <v>46147.0</v>
      </c>
      <c r="F69" s="158">
        <v>7.10018887049E12</v>
      </c>
      <c r="G69" s="158" t="s">
        <v>421</v>
      </c>
      <c r="H69" s="158">
        <v>2584.0</v>
      </c>
      <c r="I69" s="158" t="s">
        <v>422</v>
      </c>
      <c r="J69" s="158" t="s">
        <v>423</v>
      </c>
      <c r="K69" s="158">
        <v>1.602127277E10</v>
      </c>
      <c r="L69" s="158">
        <v>9.4724789373E10</v>
      </c>
      <c r="M69" s="158">
        <v>6.9613442E7</v>
      </c>
      <c r="N69" s="158" t="s">
        <v>424</v>
      </c>
      <c r="O69" s="158" t="s">
        <v>425</v>
      </c>
      <c r="P69" s="162">
        <v>12900.0</v>
      </c>
      <c r="Q69" s="158">
        <v>3.0</v>
      </c>
      <c r="R69" s="162">
        <v>38700.0</v>
      </c>
      <c r="S69" s="158">
        <v>0.0</v>
      </c>
      <c r="T69" s="162">
        <v>38700.0</v>
      </c>
      <c r="U69" s="162">
        <v>1000.0</v>
      </c>
      <c r="V69" s="158">
        <v>0.0</v>
      </c>
      <c r="W69" s="162">
        <v>1000.0</v>
      </c>
      <c r="X69" s="162">
        <v>33344.0</v>
      </c>
      <c r="Y69" s="158">
        <v>10.5</v>
      </c>
      <c r="Z69" s="158">
        <v>0.0</v>
      </c>
      <c r="AA69" s="162">
        <v>3960.0</v>
      </c>
      <c r="AB69" s="158">
        <v>396.0</v>
      </c>
    </row>
    <row r="70" hidden="1">
      <c r="A70" s="158" t="s">
        <v>420</v>
      </c>
      <c r="B70" s="159">
        <v>46152.0</v>
      </c>
      <c r="C70" s="160">
        <v>46143.0</v>
      </c>
      <c r="D70" s="159">
        <v>46147.0</v>
      </c>
      <c r="E70" s="170">
        <v>46147.0</v>
      </c>
      <c r="F70" s="158">
        <v>2.810018823956E13</v>
      </c>
      <c r="G70" s="158" t="s">
        <v>421</v>
      </c>
      <c r="H70" s="158">
        <v>2584.0</v>
      </c>
      <c r="I70" s="158" t="s">
        <v>422</v>
      </c>
      <c r="J70" s="158" t="s">
        <v>423</v>
      </c>
      <c r="K70" s="158">
        <v>1.602127277E10</v>
      </c>
      <c r="L70" s="158">
        <v>9.4724789373E10</v>
      </c>
      <c r="M70" s="158">
        <v>6.9613442E7</v>
      </c>
      <c r="N70" s="158" t="s">
        <v>424</v>
      </c>
      <c r="O70" s="158" t="s">
        <v>425</v>
      </c>
      <c r="P70" s="162">
        <v>12900.0</v>
      </c>
      <c r="Q70" s="158">
        <v>1.0</v>
      </c>
      <c r="R70" s="162">
        <v>12900.0</v>
      </c>
      <c r="S70" s="158">
        <v>0.0</v>
      </c>
      <c r="T70" s="162">
        <v>12900.0</v>
      </c>
      <c r="U70" s="162">
        <v>1000.0</v>
      </c>
      <c r="V70" s="158">
        <v>0.0</v>
      </c>
      <c r="W70" s="162">
        <v>1000.0</v>
      </c>
      <c r="X70" s="162">
        <v>10525.0</v>
      </c>
      <c r="Y70" s="158">
        <v>10.5</v>
      </c>
      <c r="Z70" s="158">
        <v>0.0</v>
      </c>
      <c r="AA70" s="162">
        <v>1250.0</v>
      </c>
      <c r="AB70" s="158">
        <v>125.0</v>
      </c>
    </row>
    <row r="71" hidden="1">
      <c r="A71" s="158" t="s">
        <v>420</v>
      </c>
      <c r="B71" s="159">
        <v>46152.0</v>
      </c>
      <c r="C71" s="160">
        <v>46143.0</v>
      </c>
      <c r="D71" s="159">
        <v>46147.0</v>
      </c>
      <c r="E71" s="170">
        <v>46147.0</v>
      </c>
      <c r="F71" s="158">
        <v>1.7100188553653E13</v>
      </c>
      <c r="G71" s="158" t="s">
        <v>421</v>
      </c>
      <c r="H71" s="158">
        <v>2584.0</v>
      </c>
      <c r="I71" s="158" t="s">
        <v>422</v>
      </c>
      <c r="J71" s="158" t="s">
        <v>423</v>
      </c>
      <c r="K71" s="158">
        <v>1.602127277E10</v>
      </c>
      <c r="L71" s="158">
        <v>9.4724789373E10</v>
      </c>
      <c r="M71" s="158">
        <v>6.9613442E7</v>
      </c>
      <c r="N71" s="158" t="s">
        <v>424</v>
      </c>
      <c r="O71" s="158" t="s">
        <v>425</v>
      </c>
      <c r="P71" s="162">
        <v>12900.0</v>
      </c>
      <c r="Q71" s="158">
        <v>1.0</v>
      </c>
      <c r="R71" s="162">
        <v>12900.0</v>
      </c>
      <c r="S71" s="158">
        <v>0.0</v>
      </c>
      <c r="T71" s="162">
        <v>12900.0</v>
      </c>
      <c r="U71" s="162">
        <v>1000.0</v>
      </c>
      <c r="V71" s="158">
        <v>0.0</v>
      </c>
      <c r="W71" s="162">
        <v>1000.0</v>
      </c>
      <c r="X71" s="162">
        <v>10525.0</v>
      </c>
      <c r="Y71" s="158">
        <v>10.5</v>
      </c>
      <c r="Z71" s="158">
        <v>0.0</v>
      </c>
      <c r="AA71" s="162">
        <v>1250.0</v>
      </c>
      <c r="AB71" s="158">
        <v>125.0</v>
      </c>
    </row>
    <row r="72" hidden="1">
      <c r="A72" s="158" t="s">
        <v>420</v>
      </c>
      <c r="B72" s="159">
        <v>46152.0</v>
      </c>
      <c r="C72" s="160">
        <v>46143.0</v>
      </c>
      <c r="D72" s="159">
        <v>46148.0</v>
      </c>
      <c r="E72" s="170">
        <v>46148.0</v>
      </c>
      <c r="F72" s="158">
        <v>1.7100188791419E13</v>
      </c>
      <c r="G72" s="158" t="s">
        <v>421</v>
      </c>
      <c r="H72" s="158">
        <v>2584.0</v>
      </c>
      <c r="I72" s="158" t="s">
        <v>422</v>
      </c>
      <c r="J72" s="158" t="s">
        <v>423</v>
      </c>
      <c r="K72" s="158">
        <v>1.602127277E10</v>
      </c>
      <c r="L72" s="158">
        <v>9.4724789373E10</v>
      </c>
      <c r="M72" s="158">
        <v>6.9613442E7</v>
      </c>
      <c r="N72" s="158" t="s">
        <v>424</v>
      </c>
      <c r="O72" s="158" t="s">
        <v>425</v>
      </c>
      <c r="P72" s="162">
        <v>12900.0</v>
      </c>
      <c r="Q72" s="158">
        <v>1.0</v>
      </c>
      <c r="R72" s="162">
        <v>12900.0</v>
      </c>
      <c r="S72" s="158">
        <v>0.0</v>
      </c>
      <c r="T72" s="162">
        <v>12900.0</v>
      </c>
      <c r="U72" s="162">
        <v>1000.0</v>
      </c>
      <c r="V72" s="158">
        <v>0.0</v>
      </c>
      <c r="W72" s="162">
        <v>1000.0</v>
      </c>
      <c r="X72" s="162">
        <v>10525.0</v>
      </c>
      <c r="Y72" s="158">
        <v>10.5</v>
      </c>
      <c r="Z72" s="158">
        <v>0.0</v>
      </c>
      <c r="AA72" s="162">
        <v>1250.0</v>
      </c>
      <c r="AB72" s="158">
        <v>125.0</v>
      </c>
    </row>
    <row r="73" hidden="1">
      <c r="A73" s="158" t="s">
        <v>420</v>
      </c>
      <c r="B73" s="159">
        <v>46152.0</v>
      </c>
      <c r="C73" s="160">
        <v>46143.0</v>
      </c>
      <c r="D73" s="159">
        <v>46149.0</v>
      </c>
      <c r="E73" s="159">
        <v>46149.0</v>
      </c>
      <c r="F73" s="158">
        <v>1.0100188835251E13</v>
      </c>
      <c r="G73" s="158" t="s">
        <v>421</v>
      </c>
      <c r="H73" s="158">
        <v>9395.0</v>
      </c>
      <c r="I73" s="158" t="s">
        <v>440</v>
      </c>
      <c r="J73" s="158" t="s">
        <v>423</v>
      </c>
      <c r="K73" s="158">
        <v>1.6174979045E10</v>
      </c>
      <c r="L73" s="158">
        <v>9.5318158389E10</v>
      </c>
      <c r="M73" s="158">
        <v>7.2864477E7</v>
      </c>
      <c r="N73" s="158" t="s">
        <v>441</v>
      </c>
      <c r="O73" s="158" t="s">
        <v>442</v>
      </c>
      <c r="P73" s="162">
        <v>6200.0</v>
      </c>
      <c r="Q73" s="158">
        <v>1.0</v>
      </c>
      <c r="R73" s="162">
        <v>6200.0</v>
      </c>
      <c r="S73" s="158">
        <v>0.0</v>
      </c>
      <c r="T73" s="162">
        <v>6200.0</v>
      </c>
      <c r="U73" s="162">
        <v>1000.0</v>
      </c>
      <c r="V73" s="158">
        <v>0.0</v>
      </c>
      <c r="W73" s="162">
        <v>1000.0</v>
      </c>
      <c r="X73" s="162">
        <v>4582.0</v>
      </c>
      <c r="Y73" s="158">
        <v>10.8</v>
      </c>
      <c r="Z73" s="158">
        <v>0.0</v>
      </c>
      <c r="AA73" s="158">
        <v>562.0</v>
      </c>
      <c r="AB73" s="158">
        <v>56.0</v>
      </c>
    </row>
    <row r="74" hidden="1">
      <c r="A74" s="158" t="s">
        <v>420</v>
      </c>
      <c r="B74" s="159">
        <v>46152.0</v>
      </c>
      <c r="C74" s="160">
        <v>46143.0</v>
      </c>
      <c r="D74" s="159">
        <v>46149.0</v>
      </c>
      <c r="E74" s="159">
        <v>46149.0</v>
      </c>
      <c r="F74" s="158">
        <v>4.100189430638E12</v>
      </c>
      <c r="G74" s="158" t="s">
        <v>421</v>
      </c>
      <c r="H74" s="158">
        <v>9395.0</v>
      </c>
      <c r="I74" s="158" t="s">
        <v>440</v>
      </c>
      <c r="J74" s="158" t="s">
        <v>423</v>
      </c>
      <c r="K74" s="158">
        <v>1.6174979045E10</v>
      </c>
      <c r="L74" s="158">
        <v>9.5318158389E10</v>
      </c>
      <c r="M74" s="158">
        <v>7.2864477E7</v>
      </c>
      <c r="N74" s="158" t="s">
        <v>441</v>
      </c>
      <c r="O74" s="158" t="s">
        <v>442</v>
      </c>
      <c r="P74" s="162">
        <v>6200.0</v>
      </c>
      <c r="Q74" s="158">
        <v>1.0</v>
      </c>
      <c r="R74" s="162">
        <v>6200.0</v>
      </c>
      <c r="S74" s="158">
        <v>0.0</v>
      </c>
      <c r="T74" s="162">
        <v>6200.0</v>
      </c>
      <c r="U74" s="162">
        <v>1000.0</v>
      </c>
      <c r="V74" s="158">
        <v>0.0</v>
      </c>
      <c r="W74" s="162">
        <v>1000.0</v>
      </c>
      <c r="X74" s="162">
        <v>4582.0</v>
      </c>
      <c r="Y74" s="158">
        <v>10.8</v>
      </c>
      <c r="Z74" s="158">
        <v>0.0</v>
      </c>
      <c r="AA74" s="158">
        <v>562.0</v>
      </c>
      <c r="AB74" s="158">
        <v>56.0</v>
      </c>
    </row>
    <row r="75">
      <c r="A75" s="158" t="s">
        <v>420</v>
      </c>
      <c r="B75" s="159">
        <v>46152.0</v>
      </c>
      <c r="C75" s="160">
        <v>46143.0</v>
      </c>
      <c r="D75" s="159">
        <v>46149.0</v>
      </c>
      <c r="E75" s="159">
        <v>46149.0</v>
      </c>
      <c r="F75" s="158">
        <v>3.1100189150615E13</v>
      </c>
      <c r="G75" s="158" t="s">
        <v>421</v>
      </c>
      <c r="H75" s="158">
        <v>1876.0</v>
      </c>
      <c r="I75" s="158" t="s">
        <v>430</v>
      </c>
      <c r="J75" s="158" t="s">
        <v>423</v>
      </c>
      <c r="K75" s="158">
        <v>1.6175031597E10</v>
      </c>
      <c r="L75" s="158">
        <v>9.5318374574E10</v>
      </c>
      <c r="M75" s="158">
        <v>7.2864548E7</v>
      </c>
      <c r="N75" s="158" t="s">
        <v>443</v>
      </c>
      <c r="O75" s="158" t="s">
        <v>444</v>
      </c>
      <c r="P75" s="162">
        <v>9600.0</v>
      </c>
      <c r="Q75" s="158">
        <v>1.0</v>
      </c>
      <c r="R75" s="162">
        <v>9600.0</v>
      </c>
      <c r="S75" s="158">
        <v>0.0</v>
      </c>
      <c r="T75" s="162">
        <v>9600.0</v>
      </c>
      <c r="U75" s="162">
        <v>1000.0</v>
      </c>
      <c r="V75" s="158">
        <v>0.0</v>
      </c>
      <c r="W75" s="162">
        <v>1000.0</v>
      </c>
      <c r="X75" s="162">
        <v>7607.0</v>
      </c>
      <c r="Y75" s="158">
        <v>10.5</v>
      </c>
      <c r="Z75" s="158">
        <v>0.0</v>
      </c>
      <c r="AA75" s="158">
        <v>903.0</v>
      </c>
      <c r="AB75" s="158">
        <v>90.0</v>
      </c>
    </row>
    <row r="76" hidden="1">
      <c r="A76" s="158" t="s">
        <v>420</v>
      </c>
      <c r="B76" s="159">
        <v>46152.0</v>
      </c>
      <c r="C76" s="160">
        <v>46143.0</v>
      </c>
      <c r="D76" s="159">
        <v>46149.0</v>
      </c>
      <c r="E76" s="170">
        <v>46149.0</v>
      </c>
      <c r="F76" s="158">
        <v>3.2100188960696E13</v>
      </c>
      <c r="G76" s="158" t="s">
        <v>421</v>
      </c>
      <c r="H76" s="158">
        <v>2584.0</v>
      </c>
      <c r="I76" s="158" t="s">
        <v>422</v>
      </c>
      <c r="J76" s="158" t="s">
        <v>423</v>
      </c>
      <c r="K76" s="158">
        <v>1.602127277E10</v>
      </c>
      <c r="L76" s="158">
        <v>9.4724789373E10</v>
      </c>
      <c r="M76" s="158">
        <v>6.9613442E7</v>
      </c>
      <c r="N76" s="158" t="s">
        <v>424</v>
      </c>
      <c r="O76" s="158" t="s">
        <v>425</v>
      </c>
      <c r="P76" s="162">
        <v>12900.0</v>
      </c>
      <c r="Q76" s="158">
        <v>1.0</v>
      </c>
      <c r="R76" s="162">
        <v>12900.0</v>
      </c>
      <c r="S76" s="158">
        <v>0.0</v>
      </c>
      <c r="T76" s="162">
        <v>12900.0</v>
      </c>
      <c r="U76" s="162">
        <v>1000.0</v>
      </c>
      <c r="V76" s="158">
        <v>0.0</v>
      </c>
      <c r="W76" s="162">
        <v>1000.0</v>
      </c>
      <c r="X76" s="162">
        <v>10525.0</v>
      </c>
      <c r="Y76" s="158">
        <v>10.5</v>
      </c>
      <c r="Z76" s="158">
        <v>0.0</v>
      </c>
      <c r="AA76" s="162">
        <v>1250.0</v>
      </c>
      <c r="AB76" s="158">
        <v>125.0</v>
      </c>
    </row>
    <row r="77" hidden="1">
      <c r="A77" s="158" t="s">
        <v>420</v>
      </c>
      <c r="B77" s="159">
        <v>46152.0</v>
      </c>
      <c r="C77" s="160">
        <v>46143.0</v>
      </c>
      <c r="D77" s="159">
        <v>46149.0</v>
      </c>
      <c r="E77" s="170">
        <v>46149.0</v>
      </c>
      <c r="F77" s="158">
        <v>2.7100188493582E13</v>
      </c>
      <c r="G77" s="158" t="s">
        <v>421</v>
      </c>
      <c r="H77" s="158">
        <v>2584.0</v>
      </c>
      <c r="I77" s="158" t="s">
        <v>422</v>
      </c>
      <c r="J77" s="158" t="s">
        <v>423</v>
      </c>
      <c r="K77" s="158">
        <v>1.602127277E10</v>
      </c>
      <c r="L77" s="158">
        <v>9.4724789373E10</v>
      </c>
      <c r="M77" s="158">
        <v>6.9613442E7</v>
      </c>
      <c r="N77" s="158" t="s">
        <v>424</v>
      </c>
      <c r="O77" s="158" t="s">
        <v>425</v>
      </c>
      <c r="P77" s="162">
        <v>12900.0</v>
      </c>
      <c r="Q77" s="158">
        <v>1.0</v>
      </c>
      <c r="R77" s="162">
        <v>12900.0</v>
      </c>
      <c r="S77" s="158">
        <v>0.0</v>
      </c>
      <c r="T77" s="162">
        <v>12900.0</v>
      </c>
      <c r="U77" s="162">
        <v>1000.0</v>
      </c>
      <c r="V77" s="158">
        <v>0.0</v>
      </c>
      <c r="W77" s="162">
        <v>1000.0</v>
      </c>
      <c r="X77" s="162">
        <v>10525.0</v>
      </c>
      <c r="Y77" s="158">
        <v>10.5</v>
      </c>
      <c r="Z77" s="158">
        <v>0.0</v>
      </c>
      <c r="AA77" s="162">
        <v>1250.0</v>
      </c>
      <c r="AB77" s="158">
        <v>125.0</v>
      </c>
    </row>
    <row r="78" hidden="1">
      <c r="A78" s="158" t="s">
        <v>420</v>
      </c>
      <c r="B78" s="159">
        <v>46152.0</v>
      </c>
      <c r="C78" s="160">
        <v>46143.0</v>
      </c>
      <c r="D78" s="159">
        <v>46150.0</v>
      </c>
      <c r="E78" s="164">
        <v>46150.0</v>
      </c>
      <c r="F78" s="158">
        <v>5.100188772143E12</v>
      </c>
      <c r="G78" s="158" t="s">
        <v>421</v>
      </c>
      <c r="H78" s="158">
        <v>2584.0</v>
      </c>
      <c r="I78" s="158" t="s">
        <v>422</v>
      </c>
      <c r="J78" s="158" t="s">
        <v>423</v>
      </c>
      <c r="K78" s="158">
        <v>1.602127277E10</v>
      </c>
      <c r="L78" s="158">
        <v>9.4724789373E10</v>
      </c>
      <c r="M78" s="158">
        <v>6.9613442E7</v>
      </c>
      <c r="N78" s="158" t="s">
        <v>424</v>
      </c>
      <c r="O78" s="158" t="s">
        <v>425</v>
      </c>
      <c r="P78" s="162">
        <v>12900.0</v>
      </c>
      <c r="Q78" s="158">
        <v>1.0</v>
      </c>
      <c r="R78" s="162">
        <v>12900.0</v>
      </c>
      <c r="S78" s="158">
        <v>0.0</v>
      </c>
      <c r="T78" s="162">
        <v>12900.0</v>
      </c>
      <c r="U78" s="162">
        <v>1000.0</v>
      </c>
      <c r="V78" s="158">
        <v>0.0</v>
      </c>
      <c r="W78" s="162">
        <v>1000.0</v>
      </c>
      <c r="X78" s="162">
        <v>10525.0</v>
      </c>
      <c r="Y78" s="158">
        <v>10.5</v>
      </c>
      <c r="Z78" s="158">
        <v>0.0</v>
      </c>
      <c r="AA78" s="162">
        <v>1250.0</v>
      </c>
      <c r="AB78" s="158">
        <v>125.0</v>
      </c>
    </row>
    <row r="79" hidden="1">
      <c r="A79" s="158" t="s">
        <v>420</v>
      </c>
      <c r="B79" s="159">
        <v>46152.0</v>
      </c>
      <c r="C79" s="160">
        <v>46143.0</v>
      </c>
      <c r="D79" s="159">
        <v>46150.0</v>
      </c>
      <c r="E79" s="165">
        <v>46150.0</v>
      </c>
      <c r="F79" s="158">
        <v>2.8100188843721E13</v>
      </c>
      <c r="G79" s="158" t="s">
        <v>421</v>
      </c>
      <c r="H79" s="158">
        <v>2584.0</v>
      </c>
      <c r="I79" s="158" t="s">
        <v>422</v>
      </c>
      <c r="J79" s="158" t="s">
        <v>423</v>
      </c>
      <c r="K79" s="158">
        <v>1.602127277E10</v>
      </c>
      <c r="L79" s="158">
        <v>9.4724789373E10</v>
      </c>
      <c r="M79" s="158">
        <v>6.9613442E7</v>
      </c>
      <c r="N79" s="158" t="s">
        <v>424</v>
      </c>
      <c r="O79" s="158" t="s">
        <v>425</v>
      </c>
      <c r="P79" s="162">
        <v>12900.0</v>
      </c>
      <c r="Q79" s="158">
        <v>1.0</v>
      </c>
      <c r="R79" s="162">
        <v>12900.0</v>
      </c>
      <c r="S79" s="158">
        <v>0.0</v>
      </c>
      <c r="T79" s="162">
        <v>12900.0</v>
      </c>
      <c r="U79" s="162">
        <v>1000.0</v>
      </c>
      <c r="V79" s="158">
        <v>0.0</v>
      </c>
      <c r="W79" s="162">
        <v>1000.0</v>
      </c>
      <c r="X79" s="162">
        <v>10525.0</v>
      </c>
      <c r="Y79" s="158">
        <v>10.5</v>
      </c>
      <c r="Z79" s="158">
        <v>0.0</v>
      </c>
      <c r="AA79" s="162">
        <v>1250.0</v>
      </c>
      <c r="AB79" s="158">
        <v>125.0</v>
      </c>
    </row>
    <row r="80" hidden="1">
      <c r="A80" s="158" t="s">
        <v>420</v>
      </c>
      <c r="B80" s="159">
        <v>46152.0</v>
      </c>
      <c r="C80" s="160">
        <v>46143.0</v>
      </c>
      <c r="D80" s="159">
        <v>46150.0</v>
      </c>
      <c r="E80" s="165">
        <v>46150.0</v>
      </c>
      <c r="F80" s="158">
        <v>1.7100188553653E13</v>
      </c>
      <c r="G80" s="158" t="s">
        <v>429</v>
      </c>
      <c r="H80" s="158">
        <v>2584.0</v>
      </c>
      <c r="I80" s="158" t="s">
        <v>422</v>
      </c>
      <c r="J80" s="158" t="s">
        <v>423</v>
      </c>
      <c r="K80" s="158">
        <v>1.602127277E10</v>
      </c>
      <c r="L80" s="158">
        <v>9.4724789373E10</v>
      </c>
      <c r="M80" s="158">
        <v>6.9613442E7</v>
      </c>
      <c r="N80" s="158" t="s">
        <v>424</v>
      </c>
      <c r="O80" s="158" t="s">
        <v>425</v>
      </c>
      <c r="P80" s="162">
        <v>12900.0</v>
      </c>
      <c r="Q80" s="158">
        <v>-1.0</v>
      </c>
      <c r="R80" s="162">
        <v>-12900.0</v>
      </c>
      <c r="S80" s="158">
        <v>0.0</v>
      </c>
      <c r="T80" s="162">
        <v>-12900.0</v>
      </c>
      <c r="U80" s="162">
        <v>-1000.0</v>
      </c>
      <c r="V80" s="158">
        <v>0.0</v>
      </c>
      <c r="W80" s="162">
        <v>-1000.0</v>
      </c>
      <c r="X80" s="162">
        <v>-10525.0</v>
      </c>
      <c r="Y80" s="158">
        <v>10.5</v>
      </c>
      <c r="Z80" s="158">
        <v>0.0</v>
      </c>
      <c r="AA80" s="162">
        <v>-1250.0</v>
      </c>
      <c r="AB80" s="158">
        <v>-125.0</v>
      </c>
    </row>
    <row r="81" hidden="1">
      <c r="A81" s="158" t="s">
        <v>420</v>
      </c>
      <c r="B81" s="159">
        <v>46152.0</v>
      </c>
      <c r="C81" s="160">
        <v>46143.0</v>
      </c>
      <c r="D81" s="159">
        <v>46150.0</v>
      </c>
      <c r="E81" s="164">
        <v>46150.0</v>
      </c>
      <c r="F81" s="158">
        <v>2.9100189247467E13</v>
      </c>
      <c r="G81" s="158" t="s">
        <v>421</v>
      </c>
      <c r="H81" s="158">
        <v>2584.0</v>
      </c>
      <c r="I81" s="158" t="s">
        <v>422</v>
      </c>
      <c r="J81" s="158" t="s">
        <v>423</v>
      </c>
      <c r="K81" s="158">
        <v>1.602127277E10</v>
      </c>
      <c r="L81" s="158">
        <v>9.4724789373E10</v>
      </c>
      <c r="M81" s="158">
        <v>6.9613442E7</v>
      </c>
      <c r="N81" s="158" t="s">
        <v>424</v>
      </c>
      <c r="O81" s="158" t="s">
        <v>425</v>
      </c>
      <c r="P81" s="162">
        <v>12900.0</v>
      </c>
      <c r="Q81" s="158">
        <v>1.0</v>
      </c>
      <c r="R81" s="162">
        <v>12900.0</v>
      </c>
      <c r="S81" s="158">
        <v>0.0</v>
      </c>
      <c r="T81" s="162">
        <v>12900.0</v>
      </c>
      <c r="U81" s="162">
        <v>1000.0</v>
      </c>
      <c r="V81" s="158">
        <v>0.0</v>
      </c>
      <c r="W81" s="162">
        <v>1000.0</v>
      </c>
      <c r="X81" s="162">
        <v>10525.0</v>
      </c>
      <c r="Y81" s="158">
        <v>10.5</v>
      </c>
      <c r="Z81" s="158">
        <v>0.0</v>
      </c>
      <c r="AA81" s="162">
        <v>1250.0</v>
      </c>
      <c r="AB81" s="158">
        <v>125.0</v>
      </c>
    </row>
    <row r="82" hidden="1">
      <c r="A82" s="158" t="s">
        <v>420</v>
      </c>
      <c r="B82" s="159">
        <v>46152.0</v>
      </c>
      <c r="C82" s="160">
        <v>46143.0</v>
      </c>
      <c r="D82" s="159">
        <v>46150.0</v>
      </c>
      <c r="E82" s="164">
        <v>46150.0</v>
      </c>
      <c r="F82" s="158">
        <v>1.7100189218884E13</v>
      </c>
      <c r="G82" s="158" t="s">
        <v>421</v>
      </c>
      <c r="H82" s="158">
        <v>2584.0</v>
      </c>
      <c r="I82" s="158" t="s">
        <v>422</v>
      </c>
      <c r="J82" s="158" t="s">
        <v>423</v>
      </c>
      <c r="K82" s="158">
        <v>1.602127277E10</v>
      </c>
      <c r="L82" s="158">
        <v>9.4724789373E10</v>
      </c>
      <c r="M82" s="158">
        <v>6.9613442E7</v>
      </c>
      <c r="N82" s="158" t="s">
        <v>424</v>
      </c>
      <c r="O82" s="158" t="s">
        <v>425</v>
      </c>
      <c r="P82" s="162">
        <v>12900.0</v>
      </c>
      <c r="Q82" s="158">
        <v>1.0</v>
      </c>
      <c r="R82" s="162">
        <v>12900.0</v>
      </c>
      <c r="S82" s="158">
        <v>0.0</v>
      </c>
      <c r="T82" s="162">
        <v>12900.0</v>
      </c>
      <c r="U82" s="162">
        <v>1000.0</v>
      </c>
      <c r="V82" s="158">
        <v>0.0</v>
      </c>
      <c r="W82" s="162">
        <v>1000.0</v>
      </c>
      <c r="X82" s="162">
        <v>10525.0</v>
      </c>
      <c r="Y82" s="158">
        <v>10.5</v>
      </c>
      <c r="Z82" s="158">
        <v>0.0</v>
      </c>
      <c r="AA82" s="162">
        <v>1250.0</v>
      </c>
      <c r="AB82" s="158">
        <v>125.0</v>
      </c>
    </row>
    <row r="83" hidden="1">
      <c r="A83" s="158" t="s">
        <v>420</v>
      </c>
      <c r="B83" s="159">
        <v>46152.0</v>
      </c>
      <c r="C83" s="160">
        <v>46143.0</v>
      </c>
      <c r="D83" s="159">
        <v>46150.0</v>
      </c>
      <c r="E83" s="164">
        <v>46150.0</v>
      </c>
      <c r="F83" s="158">
        <v>1.8100189015167E13</v>
      </c>
      <c r="G83" s="158" t="s">
        <v>421</v>
      </c>
      <c r="H83" s="158">
        <v>2584.0</v>
      </c>
      <c r="I83" s="158" t="s">
        <v>422</v>
      </c>
      <c r="J83" s="158" t="s">
        <v>423</v>
      </c>
      <c r="K83" s="158">
        <v>1.602127277E10</v>
      </c>
      <c r="L83" s="158">
        <v>9.4724789373E10</v>
      </c>
      <c r="M83" s="158">
        <v>6.9613442E7</v>
      </c>
      <c r="N83" s="158" t="s">
        <v>424</v>
      </c>
      <c r="O83" s="158" t="s">
        <v>425</v>
      </c>
      <c r="P83" s="162">
        <v>12900.0</v>
      </c>
      <c r="Q83" s="158">
        <v>1.0</v>
      </c>
      <c r="R83" s="162">
        <v>12900.0</v>
      </c>
      <c r="S83" s="158">
        <v>0.0</v>
      </c>
      <c r="T83" s="162">
        <v>12900.0</v>
      </c>
      <c r="U83" s="162">
        <v>1000.0</v>
      </c>
      <c r="V83" s="158">
        <v>0.0</v>
      </c>
      <c r="W83" s="162">
        <v>1000.0</v>
      </c>
      <c r="X83" s="162">
        <v>10525.0</v>
      </c>
      <c r="Y83" s="158">
        <v>10.5</v>
      </c>
      <c r="Z83" s="158">
        <v>0.0</v>
      </c>
      <c r="AA83" s="162">
        <v>1250.0</v>
      </c>
      <c r="AB83" s="158">
        <v>125.0</v>
      </c>
    </row>
    <row r="84" hidden="1">
      <c r="A84" s="158" t="s">
        <v>420</v>
      </c>
      <c r="B84" s="159">
        <v>46152.0</v>
      </c>
      <c r="C84" s="160">
        <v>46143.0</v>
      </c>
      <c r="D84" s="159">
        <v>46151.0</v>
      </c>
      <c r="E84" s="159">
        <v>46151.0</v>
      </c>
      <c r="F84" s="158">
        <v>4.100189430638E12</v>
      </c>
      <c r="G84" s="158" t="s">
        <v>429</v>
      </c>
      <c r="H84" s="158">
        <v>9395.0</v>
      </c>
      <c r="I84" s="158" t="s">
        <v>440</v>
      </c>
      <c r="J84" s="158" t="s">
        <v>423</v>
      </c>
      <c r="K84" s="158">
        <v>1.6174979045E10</v>
      </c>
      <c r="L84" s="158">
        <v>9.5318158389E10</v>
      </c>
      <c r="M84" s="158">
        <v>7.2864477E7</v>
      </c>
      <c r="N84" s="158" t="s">
        <v>441</v>
      </c>
      <c r="O84" s="158" t="s">
        <v>442</v>
      </c>
      <c r="P84" s="162">
        <v>6200.0</v>
      </c>
      <c r="Q84" s="158">
        <v>-1.0</v>
      </c>
      <c r="R84" s="162">
        <v>-6200.0</v>
      </c>
      <c r="S84" s="158">
        <v>0.0</v>
      </c>
      <c r="T84" s="162">
        <v>-6200.0</v>
      </c>
      <c r="U84" s="162">
        <v>-1000.0</v>
      </c>
      <c r="V84" s="158">
        <v>0.0</v>
      </c>
      <c r="W84" s="162">
        <v>-1000.0</v>
      </c>
      <c r="X84" s="162">
        <v>-4582.0</v>
      </c>
      <c r="Y84" s="158">
        <v>10.8</v>
      </c>
      <c r="Z84" s="158">
        <v>0.0</v>
      </c>
      <c r="AA84" s="158">
        <v>-562.0</v>
      </c>
      <c r="AB84" s="158">
        <v>-56.0</v>
      </c>
    </row>
    <row r="85" hidden="1">
      <c r="A85" s="158" t="s">
        <v>420</v>
      </c>
      <c r="B85" s="159">
        <v>46152.0</v>
      </c>
      <c r="C85" s="160">
        <v>46143.0</v>
      </c>
      <c r="D85" s="159">
        <v>46151.0</v>
      </c>
      <c r="E85" s="164">
        <v>46151.0</v>
      </c>
      <c r="F85" s="158">
        <v>2.3100189533546E13</v>
      </c>
      <c r="G85" s="158" t="s">
        <v>421</v>
      </c>
      <c r="H85" s="158">
        <v>2584.0</v>
      </c>
      <c r="I85" s="158" t="s">
        <v>422</v>
      </c>
      <c r="J85" s="158" t="s">
        <v>423</v>
      </c>
      <c r="K85" s="158">
        <v>1.602127277E10</v>
      </c>
      <c r="L85" s="158">
        <v>9.4724789373E10</v>
      </c>
      <c r="M85" s="158">
        <v>6.9613442E7</v>
      </c>
      <c r="N85" s="158" t="s">
        <v>424</v>
      </c>
      <c r="O85" s="158" t="s">
        <v>425</v>
      </c>
      <c r="P85" s="162">
        <v>12900.0</v>
      </c>
      <c r="Q85" s="158">
        <v>1.0</v>
      </c>
      <c r="R85" s="162">
        <v>12900.0</v>
      </c>
      <c r="S85" s="158">
        <v>0.0</v>
      </c>
      <c r="T85" s="162">
        <v>12900.0</v>
      </c>
      <c r="U85" s="162">
        <v>1000.0</v>
      </c>
      <c r="V85" s="158">
        <v>0.0</v>
      </c>
      <c r="W85" s="162">
        <v>1000.0</v>
      </c>
      <c r="X85" s="162">
        <v>10525.0</v>
      </c>
      <c r="Y85" s="158">
        <v>10.5</v>
      </c>
      <c r="Z85" s="158">
        <v>0.0</v>
      </c>
      <c r="AA85" s="162">
        <v>1250.0</v>
      </c>
      <c r="AB85" s="158">
        <v>125.0</v>
      </c>
    </row>
    <row r="86" hidden="1">
      <c r="A86" s="158" t="s">
        <v>420</v>
      </c>
      <c r="B86" s="159">
        <v>46152.0</v>
      </c>
      <c r="C86" s="160">
        <v>46143.0</v>
      </c>
      <c r="D86" s="159">
        <v>46151.0</v>
      </c>
      <c r="E86" s="164">
        <v>46151.0</v>
      </c>
      <c r="F86" s="158">
        <v>8.100189969956E12</v>
      </c>
      <c r="G86" s="158" t="s">
        <v>421</v>
      </c>
      <c r="H86" s="158">
        <v>2584.0</v>
      </c>
      <c r="I86" s="158" t="s">
        <v>422</v>
      </c>
      <c r="J86" s="158" t="s">
        <v>423</v>
      </c>
      <c r="K86" s="158">
        <v>1.602127277E10</v>
      </c>
      <c r="L86" s="158">
        <v>9.4724789373E10</v>
      </c>
      <c r="M86" s="158">
        <v>6.9613442E7</v>
      </c>
      <c r="N86" s="158" t="s">
        <v>424</v>
      </c>
      <c r="O86" s="158" t="s">
        <v>425</v>
      </c>
      <c r="P86" s="162">
        <v>12900.0</v>
      </c>
      <c r="Q86" s="158">
        <v>1.0</v>
      </c>
      <c r="R86" s="162">
        <v>12900.0</v>
      </c>
      <c r="S86" s="158">
        <v>0.0</v>
      </c>
      <c r="T86" s="162">
        <v>12900.0</v>
      </c>
      <c r="U86" s="162">
        <v>1000.0</v>
      </c>
      <c r="V86" s="158">
        <v>0.0</v>
      </c>
      <c r="W86" s="162">
        <v>1000.0</v>
      </c>
      <c r="X86" s="162">
        <v>10525.0</v>
      </c>
      <c r="Y86" s="158">
        <v>10.5</v>
      </c>
      <c r="Z86" s="158">
        <v>0.0</v>
      </c>
      <c r="AA86" s="162">
        <v>1250.0</v>
      </c>
      <c r="AB86" s="158">
        <v>125.0</v>
      </c>
    </row>
    <row r="87" hidden="1">
      <c r="A87" s="158" t="s">
        <v>420</v>
      </c>
      <c r="B87" s="159">
        <v>46152.0</v>
      </c>
      <c r="C87" s="160">
        <v>46143.0</v>
      </c>
      <c r="D87" s="159">
        <v>46152.0</v>
      </c>
      <c r="E87" s="164">
        <v>46152.0</v>
      </c>
      <c r="F87" s="158">
        <v>3.0100189896371E13</v>
      </c>
      <c r="G87" s="158" t="s">
        <v>421</v>
      </c>
      <c r="H87" s="158">
        <v>2584.0</v>
      </c>
      <c r="I87" s="158" t="s">
        <v>422</v>
      </c>
      <c r="J87" s="158" t="s">
        <v>423</v>
      </c>
      <c r="K87" s="158">
        <v>1.602127277E10</v>
      </c>
      <c r="L87" s="158">
        <v>9.4724789373E10</v>
      </c>
      <c r="M87" s="158">
        <v>6.9613442E7</v>
      </c>
      <c r="N87" s="158" t="s">
        <v>424</v>
      </c>
      <c r="O87" s="158" t="s">
        <v>425</v>
      </c>
      <c r="P87" s="162">
        <v>12900.0</v>
      </c>
      <c r="Q87" s="158">
        <v>1.0</v>
      </c>
      <c r="R87" s="162">
        <v>12900.0</v>
      </c>
      <c r="S87" s="158">
        <v>0.0</v>
      </c>
      <c r="T87" s="162">
        <v>12900.0</v>
      </c>
      <c r="U87" s="162">
        <v>1000.0</v>
      </c>
      <c r="V87" s="158">
        <v>0.0</v>
      </c>
      <c r="W87" s="162">
        <v>1000.0</v>
      </c>
      <c r="X87" s="162">
        <v>10525.0</v>
      </c>
      <c r="Y87" s="158">
        <v>10.5</v>
      </c>
      <c r="Z87" s="158">
        <v>0.0</v>
      </c>
      <c r="AA87" s="162">
        <v>1250.0</v>
      </c>
      <c r="AB87" s="158">
        <v>125.0</v>
      </c>
    </row>
    <row r="88" hidden="1">
      <c r="A88" s="158" t="s">
        <v>420</v>
      </c>
      <c r="B88" s="159">
        <v>46159.0</v>
      </c>
      <c r="C88" s="160">
        <v>46143.0</v>
      </c>
      <c r="D88" s="159">
        <v>46153.0</v>
      </c>
      <c r="E88" s="159">
        <v>46153.0</v>
      </c>
      <c r="F88" s="158">
        <v>3.100190214619E12</v>
      </c>
      <c r="G88" s="158" t="s">
        <v>421</v>
      </c>
      <c r="H88" s="158">
        <v>1876.0</v>
      </c>
      <c r="I88" s="158" t="s">
        <v>430</v>
      </c>
      <c r="J88" s="158" t="s">
        <v>423</v>
      </c>
      <c r="K88" s="158">
        <v>1.6175031597E10</v>
      </c>
      <c r="L88" s="158">
        <v>9.5318374575E10</v>
      </c>
      <c r="M88" s="158">
        <v>7.2864536E7</v>
      </c>
      <c r="N88" s="158" t="s">
        <v>443</v>
      </c>
      <c r="O88" s="158" t="s">
        <v>445</v>
      </c>
      <c r="P88" s="162">
        <v>9600.0</v>
      </c>
      <c r="Q88" s="158">
        <v>1.0</v>
      </c>
      <c r="R88" s="162">
        <v>9600.0</v>
      </c>
      <c r="S88" s="158">
        <v>0.0</v>
      </c>
      <c r="T88" s="162">
        <v>9600.0</v>
      </c>
      <c r="U88" s="162">
        <v>1000.0</v>
      </c>
      <c r="V88" s="158">
        <v>0.0</v>
      </c>
      <c r="W88" s="162">
        <v>1000.0</v>
      </c>
      <c r="X88" s="162">
        <v>7607.0</v>
      </c>
      <c r="Y88" s="158">
        <v>10.5</v>
      </c>
      <c r="Z88" s="158">
        <v>0.0</v>
      </c>
      <c r="AA88" s="158">
        <v>903.0</v>
      </c>
      <c r="AB88" s="158">
        <v>90.0</v>
      </c>
    </row>
    <row r="89" hidden="1">
      <c r="A89" s="158" t="s">
        <v>420</v>
      </c>
      <c r="B89" s="159">
        <v>46159.0</v>
      </c>
      <c r="C89" s="160">
        <v>46143.0</v>
      </c>
      <c r="D89" s="159">
        <v>46153.0</v>
      </c>
      <c r="E89" s="165">
        <v>46153.0</v>
      </c>
      <c r="F89" s="158">
        <v>1.5100189927173E13</v>
      </c>
      <c r="G89" s="158" t="s">
        <v>421</v>
      </c>
      <c r="H89" s="158">
        <v>2584.0</v>
      </c>
      <c r="I89" s="158" t="s">
        <v>422</v>
      </c>
      <c r="J89" s="158" t="s">
        <v>423</v>
      </c>
      <c r="K89" s="158">
        <v>1.602127277E10</v>
      </c>
      <c r="L89" s="158">
        <v>9.4724789373E10</v>
      </c>
      <c r="M89" s="158">
        <v>6.9613442E7</v>
      </c>
      <c r="N89" s="158" t="s">
        <v>424</v>
      </c>
      <c r="O89" s="158" t="s">
        <v>425</v>
      </c>
      <c r="P89" s="162">
        <v>12900.0</v>
      </c>
      <c r="Q89" s="158">
        <v>1.0</v>
      </c>
      <c r="R89" s="162">
        <v>12900.0</v>
      </c>
      <c r="S89" s="158">
        <v>0.0</v>
      </c>
      <c r="T89" s="162">
        <v>12900.0</v>
      </c>
      <c r="U89" s="162">
        <v>1000.0</v>
      </c>
      <c r="V89" s="158">
        <v>0.0</v>
      </c>
      <c r="W89" s="162">
        <v>1000.0</v>
      </c>
      <c r="X89" s="162">
        <v>10525.0</v>
      </c>
      <c r="Y89" s="158">
        <v>10.5</v>
      </c>
      <c r="Z89" s="158">
        <v>0.0</v>
      </c>
      <c r="AA89" s="162">
        <v>1250.0</v>
      </c>
      <c r="AB89" s="158">
        <v>125.0</v>
      </c>
    </row>
    <row r="90" hidden="1">
      <c r="A90" s="158" t="s">
        <v>420</v>
      </c>
      <c r="B90" s="159">
        <v>46159.0</v>
      </c>
      <c r="C90" s="160">
        <v>46143.0</v>
      </c>
      <c r="D90" s="159">
        <v>46153.0</v>
      </c>
      <c r="E90" s="165">
        <v>46153.0</v>
      </c>
      <c r="F90" s="158">
        <v>3.2100188960696E13</v>
      </c>
      <c r="G90" s="158" t="s">
        <v>429</v>
      </c>
      <c r="H90" s="158">
        <v>2584.0</v>
      </c>
      <c r="I90" s="158" t="s">
        <v>422</v>
      </c>
      <c r="J90" s="158" t="s">
        <v>423</v>
      </c>
      <c r="K90" s="158">
        <v>1.602127277E10</v>
      </c>
      <c r="L90" s="158">
        <v>9.4724789373E10</v>
      </c>
      <c r="M90" s="158">
        <v>6.9613442E7</v>
      </c>
      <c r="N90" s="158" t="s">
        <v>424</v>
      </c>
      <c r="O90" s="158" t="s">
        <v>425</v>
      </c>
      <c r="P90" s="162">
        <v>12900.0</v>
      </c>
      <c r="Q90" s="158">
        <v>-1.0</v>
      </c>
      <c r="R90" s="162">
        <v>-12900.0</v>
      </c>
      <c r="S90" s="158">
        <v>0.0</v>
      </c>
      <c r="T90" s="162">
        <v>-12900.0</v>
      </c>
      <c r="U90" s="162">
        <v>-1000.0</v>
      </c>
      <c r="V90" s="158">
        <v>0.0</v>
      </c>
      <c r="W90" s="162">
        <v>-1000.0</v>
      </c>
      <c r="X90" s="162">
        <v>-10525.0</v>
      </c>
      <c r="Y90" s="158">
        <v>10.5</v>
      </c>
      <c r="Z90" s="158">
        <v>0.0</v>
      </c>
      <c r="AA90" s="162">
        <v>-1250.0</v>
      </c>
      <c r="AB90" s="158">
        <v>-125.0</v>
      </c>
    </row>
    <row r="91" hidden="1">
      <c r="A91" s="158" t="s">
        <v>420</v>
      </c>
      <c r="B91" s="159">
        <v>46159.0</v>
      </c>
      <c r="C91" s="160">
        <v>46143.0</v>
      </c>
      <c r="D91" s="159">
        <v>46153.0</v>
      </c>
      <c r="E91" s="159">
        <v>46153.0</v>
      </c>
      <c r="F91" s="158">
        <v>1.6100190360328E13</v>
      </c>
      <c r="G91" s="158" t="s">
        <v>421</v>
      </c>
      <c r="H91" s="158">
        <v>9395.0</v>
      </c>
      <c r="I91" s="158" t="s">
        <v>440</v>
      </c>
      <c r="J91" s="158" t="s">
        <v>423</v>
      </c>
      <c r="K91" s="158">
        <v>1.6174979045E10</v>
      </c>
      <c r="L91" s="158">
        <v>9.5318158389E10</v>
      </c>
      <c r="M91" s="158">
        <v>7.2864477E7</v>
      </c>
      <c r="N91" s="158" t="s">
        <v>441</v>
      </c>
      <c r="O91" s="158" t="s">
        <v>442</v>
      </c>
      <c r="P91" s="162">
        <v>6200.0</v>
      </c>
      <c r="Q91" s="158">
        <v>1.0</v>
      </c>
      <c r="R91" s="162">
        <v>6200.0</v>
      </c>
      <c r="S91" s="158">
        <v>0.0</v>
      </c>
      <c r="T91" s="162">
        <v>6200.0</v>
      </c>
      <c r="U91" s="162">
        <v>1000.0</v>
      </c>
      <c r="V91" s="158">
        <v>0.0</v>
      </c>
      <c r="W91" s="162">
        <v>1000.0</v>
      </c>
      <c r="X91" s="162">
        <v>4582.0</v>
      </c>
      <c r="Y91" s="158">
        <v>10.8</v>
      </c>
      <c r="Z91" s="158">
        <v>0.0</v>
      </c>
      <c r="AA91" s="158">
        <v>562.0</v>
      </c>
      <c r="AB91" s="158">
        <v>56.0</v>
      </c>
    </row>
    <row r="92" hidden="1">
      <c r="A92" s="158" t="s">
        <v>420</v>
      </c>
      <c r="B92" s="159">
        <v>46159.0</v>
      </c>
      <c r="C92" s="160">
        <v>46143.0</v>
      </c>
      <c r="D92" s="159">
        <v>46153.0</v>
      </c>
      <c r="E92" s="164">
        <v>46153.0</v>
      </c>
      <c r="F92" s="158">
        <v>2.8100189628254E13</v>
      </c>
      <c r="G92" s="158" t="s">
        <v>421</v>
      </c>
      <c r="H92" s="158">
        <v>2584.0</v>
      </c>
      <c r="I92" s="158" t="s">
        <v>422</v>
      </c>
      <c r="J92" s="158" t="s">
        <v>423</v>
      </c>
      <c r="K92" s="158">
        <v>1.602127277E10</v>
      </c>
      <c r="L92" s="158">
        <v>9.4724789373E10</v>
      </c>
      <c r="M92" s="158">
        <v>6.9613442E7</v>
      </c>
      <c r="N92" s="158" t="s">
        <v>424</v>
      </c>
      <c r="O92" s="158" t="s">
        <v>425</v>
      </c>
      <c r="P92" s="162">
        <v>12900.0</v>
      </c>
      <c r="Q92" s="158">
        <v>1.0</v>
      </c>
      <c r="R92" s="162">
        <v>12900.0</v>
      </c>
      <c r="S92" s="158">
        <v>0.0</v>
      </c>
      <c r="T92" s="162">
        <v>12900.0</v>
      </c>
      <c r="U92" s="162">
        <v>1000.0</v>
      </c>
      <c r="V92" s="158">
        <v>0.0</v>
      </c>
      <c r="W92" s="162">
        <v>1000.0</v>
      </c>
      <c r="X92" s="162">
        <v>10525.0</v>
      </c>
      <c r="Y92" s="158">
        <v>10.5</v>
      </c>
      <c r="Z92" s="158">
        <v>0.0</v>
      </c>
      <c r="AA92" s="162">
        <v>1250.0</v>
      </c>
      <c r="AB92" s="158">
        <v>125.0</v>
      </c>
    </row>
    <row r="93" hidden="1">
      <c r="A93" s="158" t="s">
        <v>420</v>
      </c>
      <c r="B93" s="159">
        <v>46159.0</v>
      </c>
      <c r="C93" s="160">
        <v>46143.0</v>
      </c>
      <c r="D93" s="159">
        <v>46153.0</v>
      </c>
      <c r="E93" s="164">
        <v>46153.0</v>
      </c>
      <c r="F93" s="158">
        <v>4.100190379308E12</v>
      </c>
      <c r="G93" s="158" t="s">
        <v>421</v>
      </c>
      <c r="H93" s="158">
        <v>2584.0</v>
      </c>
      <c r="I93" s="158" t="s">
        <v>422</v>
      </c>
      <c r="J93" s="158" t="s">
        <v>423</v>
      </c>
      <c r="K93" s="158">
        <v>1.602127277E10</v>
      </c>
      <c r="L93" s="158">
        <v>9.4724789373E10</v>
      </c>
      <c r="M93" s="158">
        <v>6.9613442E7</v>
      </c>
      <c r="N93" s="158" t="s">
        <v>424</v>
      </c>
      <c r="O93" s="158" t="s">
        <v>425</v>
      </c>
      <c r="P93" s="162">
        <v>12900.0</v>
      </c>
      <c r="Q93" s="158">
        <v>1.0</v>
      </c>
      <c r="R93" s="162">
        <v>12900.0</v>
      </c>
      <c r="S93" s="158">
        <v>0.0</v>
      </c>
      <c r="T93" s="162">
        <v>12900.0</v>
      </c>
      <c r="U93" s="162">
        <v>1000.0</v>
      </c>
      <c r="V93" s="158">
        <v>0.0</v>
      </c>
      <c r="W93" s="162">
        <v>1000.0</v>
      </c>
      <c r="X93" s="162">
        <v>10525.0</v>
      </c>
      <c r="Y93" s="158">
        <v>10.5</v>
      </c>
      <c r="Z93" s="158">
        <v>0.0</v>
      </c>
      <c r="AA93" s="162">
        <v>1250.0</v>
      </c>
      <c r="AB93" s="158">
        <v>125.0</v>
      </c>
    </row>
    <row r="94" hidden="1">
      <c r="A94" s="158" t="s">
        <v>420</v>
      </c>
      <c r="B94" s="159">
        <v>46159.0</v>
      </c>
      <c r="C94" s="160">
        <v>46143.0</v>
      </c>
      <c r="D94" s="159">
        <v>46154.0</v>
      </c>
      <c r="E94" s="164">
        <v>46154.0</v>
      </c>
      <c r="F94" s="158">
        <v>1.8100189766443E13</v>
      </c>
      <c r="G94" s="158" t="s">
        <v>421</v>
      </c>
      <c r="H94" s="158">
        <v>2584.0</v>
      </c>
      <c r="I94" s="158" t="s">
        <v>422</v>
      </c>
      <c r="J94" s="158" t="s">
        <v>423</v>
      </c>
      <c r="K94" s="158">
        <v>1.602127277E10</v>
      </c>
      <c r="L94" s="158">
        <v>9.4724789373E10</v>
      </c>
      <c r="M94" s="158">
        <v>6.9613442E7</v>
      </c>
      <c r="N94" s="158" t="s">
        <v>424</v>
      </c>
      <c r="O94" s="158" t="s">
        <v>425</v>
      </c>
      <c r="P94" s="162">
        <v>12900.0</v>
      </c>
      <c r="Q94" s="158">
        <v>1.0</v>
      </c>
      <c r="R94" s="162">
        <v>12900.0</v>
      </c>
      <c r="S94" s="158">
        <v>0.0</v>
      </c>
      <c r="T94" s="162">
        <v>12900.0</v>
      </c>
      <c r="U94" s="162">
        <v>1000.0</v>
      </c>
      <c r="V94" s="158">
        <v>0.0</v>
      </c>
      <c r="W94" s="162">
        <v>1000.0</v>
      </c>
      <c r="X94" s="162">
        <v>10525.0</v>
      </c>
      <c r="Y94" s="158">
        <v>10.5</v>
      </c>
      <c r="Z94" s="158">
        <v>0.0</v>
      </c>
      <c r="AA94" s="162">
        <v>1250.0</v>
      </c>
      <c r="AB94" s="158">
        <v>125.0</v>
      </c>
    </row>
    <row r="95" hidden="1">
      <c r="A95" s="158" t="s">
        <v>420</v>
      </c>
      <c r="B95" s="159">
        <v>46159.0</v>
      </c>
      <c r="C95" s="160">
        <v>46143.0</v>
      </c>
      <c r="D95" s="159">
        <v>46154.0</v>
      </c>
      <c r="E95" s="171">
        <v>46154.0</v>
      </c>
      <c r="F95" s="158">
        <v>1.9100190161648E13</v>
      </c>
      <c r="G95" s="158" t="s">
        <v>421</v>
      </c>
      <c r="H95" s="158">
        <v>2584.0</v>
      </c>
      <c r="I95" s="158" t="s">
        <v>422</v>
      </c>
      <c r="J95" s="158" t="s">
        <v>423</v>
      </c>
      <c r="K95" s="158">
        <v>1.602127277E10</v>
      </c>
      <c r="L95" s="158">
        <v>9.4724789373E10</v>
      </c>
      <c r="M95" s="158">
        <v>6.9613442E7</v>
      </c>
      <c r="N95" s="158" t="s">
        <v>424</v>
      </c>
      <c r="O95" s="158" t="s">
        <v>425</v>
      </c>
      <c r="P95" s="162">
        <v>12900.0</v>
      </c>
      <c r="Q95" s="158">
        <v>1.0</v>
      </c>
      <c r="R95" s="162">
        <v>12900.0</v>
      </c>
      <c r="S95" s="158">
        <v>0.0</v>
      </c>
      <c r="T95" s="162">
        <v>12900.0</v>
      </c>
      <c r="U95" s="158">
        <v>200.0</v>
      </c>
      <c r="V95" s="158">
        <v>0.0</v>
      </c>
      <c r="W95" s="158">
        <v>200.0</v>
      </c>
      <c r="X95" s="162">
        <v>11233.0</v>
      </c>
      <c r="Y95" s="158">
        <v>10.5</v>
      </c>
      <c r="Z95" s="158">
        <v>0.0</v>
      </c>
      <c r="AA95" s="162">
        <v>1334.0</v>
      </c>
      <c r="AB95" s="158">
        <v>133.0</v>
      </c>
    </row>
    <row r="96" hidden="1">
      <c r="A96" s="158" t="s">
        <v>420</v>
      </c>
      <c r="B96" s="159">
        <v>46159.0</v>
      </c>
      <c r="C96" s="160">
        <v>46143.0</v>
      </c>
      <c r="D96" s="159">
        <v>46155.0</v>
      </c>
      <c r="E96" s="171">
        <v>46155.0</v>
      </c>
      <c r="F96" s="158">
        <v>1.010019006035E13</v>
      </c>
      <c r="G96" s="158" t="s">
        <v>421</v>
      </c>
      <c r="H96" s="158">
        <v>2584.0</v>
      </c>
      <c r="I96" s="158" t="s">
        <v>422</v>
      </c>
      <c r="J96" s="158" t="s">
        <v>423</v>
      </c>
      <c r="K96" s="158">
        <v>1.602127277E10</v>
      </c>
      <c r="L96" s="158">
        <v>9.4724789373E10</v>
      </c>
      <c r="M96" s="158">
        <v>6.9613442E7</v>
      </c>
      <c r="N96" s="158" t="s">
        <v>424</v>
      </c>
      <c r="O96" s="158" t="s">
        <v>425</v>
      </c>
      <c r="P96" s="162">
        <v>12900.0</v>
      </c>
      <c r="Q96" s="158">
        <v>1.0</v>
      </c>
      <c r="R96" s="162">
        <v>12900.0</v>
      </c>
      <c r="S96" s="158">
        <v>0.0</v>
      </c>
      <c r="T96" s="162">
        <v>12900.0</v>
      </c>
      <c r="U96" s="158">
        <v>200.0</v>
      </c>
      <c r="V96" s="158">
        <v>0.0</v>
      </c>
      <c r="W96" s="158">
        <v>200.0</v>
      </c>
      <c r="X96" s="162">
        <v>11233.0</v>
      </c>
      <c r="Y96" s="158">
        <v>10.5</v>
      </c>
      <c r="Z96" s="158">
        <v>0.0</v>
      </c>
      <c r="AA96" s="162">
        <v>1334.0</v>
      </c>
      <c r="AB96" s="158">
        <v>133.0</v>
      </c>
    </row>
    <row r="97" hidden="1">
      <c r="A97" s="158" t="s">
        <v>420</v>
      </c>
      <c r="B97" s="159">
        <v>46159.0</v>
      </c>
      <c r="C97" s="160">
        <v>46143.0</v>
      </c>
      <c r="D97" s="159">
        <v>46155.0</v>
      </c>
      <c r="E97" s="165">
        <v>46155.0</v>
      </c>
      <c r="F97" s="158">
        <v>1.3100190018667E13</v>
      </c>
      <c r="G97" s="158" t="s">
        <v>421</v>
      </c>
      <c r="H97" s="158">
        <v>2584.0</v>
      </c>
      <c r="I97" s="158" t="s">
        <v>422</v>
      </c>
      <c r="J97" s="158" t="s">
        <v>423</v>
      </c>
      <c r="K97" s="158">
        <v>1.602127277E10</v>
      </c>
      <c r="L97" s="158">
        <v>9.4724789373E10</v>
      </c>
      <c r="M97" s="158">
        <v>6.9613442E7</v>
      </c>
      <c r="N97" s="158" t="s">
        <v>424</v>
      </c>
      <c r="O97" s="158" t="s">
        <v>425</v>
      </c>
      <c r="P97" s="162">
        <v>12900.0</v>
      </c>
      <c r="Q97" s="158">
        <v>1.0</v>
      </c>
      <c r="R97" s="162">
        <v>12900.0</v>
      </c>
      <c r="S97" s="158">
        <v>0.0</v>
      </c>
      <c r="T97" s="162">
        <v>12900.0</v>
      </c>
      <c r="U97" s="158">
        <v>200.0</v>
      </c>
      <c r="V97" s="158">
        <v>0.0</v>
      </c>
      <c r="W97" s="158">
        <v>200.0</v>
      </c>
      <c r="X97" s="162">
        <v>11233.0</v>
      </c>
      <c r="Y97" s="158">
        <v>10.5</v>
      </c>
      <c r="Z97" s="158">
        <v>0.0</v>
      </c>
      <c r="AA97" s="162">
        <v>1334.0</v>
      </c>
      <c r="AB97" s="158">
        <v>133.0</v>
      </c>
    </row>
    <row r="98" hidden="1">
      <c r="A98" s="158" t="s">
        <v>420</v>
      </c>
      <c r="B98" s="159">
        <v>46159.0</v>
      </c>
      <c r="C98" s="160">
        <v>46143.0</v>
      </c>
      <c r="D98" s="159">
        <v>46155.0</v>
      </c>
      <c r="E98" s="165">
        <v>46155.0</v>
      </c>
      <c r="F98" s="158">
        <v>5.100188772143E12</v>
      </c>
      <c r="G98" s="158" t="s">
        <v>429</v>
      </c>
      <c r="H98" s="158">
        <v>2584.0</v>
      </c>
      <c r="I98" s="158" t="s">
        <v>422</v>
      </c>
      <c r="J98" s="158" t="s">
        <v>423</v>
      </c>
      <c r="K98" s="158">
        <v>1.602127277E10</v>
      </c>
      <c r="L98" s="158">
        <v>9.4724789373E10</v>
      </c>
      <c r="M98" s="158">
        <v>6.9613442E7</v>
      </c>
      <c r="N98" s="158" t="s">
        <v>424</v>
      </c>
      <c r="O98" s="158" t="s">
        <v>425</v>
      </c>
      <c r="P98" s="162">
        <v>12900.0</v>
      </c>
      <c r="Q98" s="158">
        <v>-1.0</v>
      </c>
      <c r="R98" s="162">
        <v>-12900.0</v>
      </c>
      <c r="S98" s="158">
        <v>0.0</v>
      </c>
      <c r="T98" s="162">
        <v>-12900.0</v>
      </c>
      <c r="U98" s="162">
        <v>-1000.0</v>
      </c>
      <c r="V98" s="158">
        <v>0.0</v>
      </c>
      <c r="W98" s="162">
        <v>-1000.0</v>
      </c>
      <c r="X98" s="162">
        <v>-10525.0</v>
      </c>
      <c r="Y98" s="158">
        <v>10.5</v>
      </c>
      <c r="Z98" s="158">
        <v>0.0</v>
      </c>
      <c r="AA98" s="162">
        <v>-1250.0</v>
      </c>
      <c r="AB98" s="158">
        <v>-125.0</v>
      </c>
    </row>
    <row r="99" hidden="1">
      <c r="A99" s="158" t="s">
        <v>420</v>
      </c>
      <c r="B99" s="159">
        <v>46159.0</v>
      </c>
      <c r="C99" s="160">
        <v>46143.0</v>
      </c>
      <c r="D99" s="159">
        <v>46155.0</v>
      </c>
      <c r="E99" s="171">
        <v>46155.0</v>
      </c>
      <c r="F99" s="158">
        <v>2.2100189549008E13</v>
      </c>
      <c r="G99" s="158" t="s">
        <v>421</v>
      </c>
      <c r="H99" s="158">
        <v>2584.0</v>
      </c>
      <c r="I99" s="158" t="s">
        <v>422</v>
      </c>
      <c r="J99" s="158" t="s">
        <v>423</v>
      </c>
      <c r="K99" s="158">
        <v>1.602127277E10</v>
      </c>
      <c r="L99" s="158">
        <v>9.4724789373E10</v>
      </c>
      <c r="M99" s="158">
        <v>6.9613442E7</v>
      </c>
      <c r="N99" s="158" t="s">
        <v>424</v>
      </c>
      <c r="O99" s="158" t="s">
        <v>425</v>
      </c>
      <c r="P99" s="162">
        <v>12900.0</v>
      </c>
      <c r="Q99" s="158">
        <v>1.0</v>
      </c>
      <c r="R99" s="162">
        <v>12900.0</v>
      </c>
      <c r="S99" s="158">
        <v>0.0</v>
      </c>
      <c r="T99" s="162">
        <v>12900.0</v>
      </c>
      <c r="U99" s="158">
        <v>200.0</v>
      </c>
      <c r="V99" s="158">
        <v>0.0</v>
      </c>
      <c r="W99" s="158">
        <v>200.0</v>
      </c>
      <c r="X99" s="162">
        <v>11233.0</v>
      </c>
      <c r="Y99" s="158">
        <v>10.5</v>
      </c>
      <c r="Z99" s="158">
        <v>0.0</v>
      </c>
      <c r="AA99" s="162">
        <v>1334.0</v>
      </c>
      <c r="AB99" s="158">
        <v>133.0</v>
      </c>
    </row>
    <row r="100" hidden="1">
      <c r="A100" s="158" t="s">
        <v>420</v>
      </c>
      <c r="B100" s="159">
        <v>46159.0</v>
      </c>
      <c r="C100" s="160">
        <v>46143.0</v>
      </c>
      <c r="D100" s="159">
        <v>46155.0</v>
      </c>
      <c r="E100" s="171">
        <v>46155.0</v>
      </c>
      <c r="F100" s="158">
        <v>9.100190069868E12</v>
      </c>
      <c r="G100" s="158" t="s">
        <v>421</v>
      </c>
      <c r="H100" s="158">
        <v>2584.0</v>
      </c>
      <c r="I100" s="158" t="s">
        <v>422</v>
      </c>
      <c r="J100" s="158" t="s">
        <v>423</v>
      </c>
      <c r="K100" s="158">
        <v>1.602127277E10</v>
      </c>
      <c r="L100" s="158">
        <v>9.4724789373E10</v>
      </c>
      <c r="M100" s="158">
        <v>6.9613442E7</v>
      </c>
      <c r="N100" s="158" t="s">
        <v>424</v>
      </c>
      <c r="O100" s="158" t="s">
        <v>425</v>
      </c>
      <c r="P100" s="162">
        <v>12900.0</v>
      </c>
      <c r="Q100" s="158">
        <v>1.0</v>
      </c>
      <c r="R100" s="162">
        <v>12900.0</v>
      </c>
      <c r="S100" s="158">
        <v>0.0</v>
      </c>
      <c r="T100" s="162">
        <v>12900.0</v>
      </c>
      <c r="U100" s="158">
        <v>200.0</v>
      </c>
      <c r="V100" s="158">
        <v>0.0</v>
      </c>
      <c r="W100" s="158">
        <v>200.0</v>
      </c>
      <c r="X100" s="162">
        <v>11233.0</v>
      </c>
      <c r="Y100" s="158">
        <v>10.5</v>
      </c>
      <c r="Z100" s="158">
        <v>0.0</v>
      </c>
      <c r="AA100" s="162">
        <v>1334.0</v>
      </c>
      <c r="AB100" s="158">
        <v>133.0</v>
      </c>
    </row>
    <row r="101" hidden="1">
      <c r="A101" s="158" t="s">
        <v>420</v>
      </c>
      <c r="B101" s="159">
        <v>46159.0</v>
      </c>
      <c r="C101" s="160">
        <v>46143.0</v>
      </c>
      <c r="D101" s="159">
        <v>46155.0</v>
      </c>
      <c r="E101" s="171">
        <v>46155.0</v>
      </c>
      <c r="F101" s="158">
        <v>2.1100190831587E13</v>
      </c>
      <c r="G101" s="158" t="s">
        <v>421</v>
      </c>
      <c r="H101" s="158">
        <v>2584.0</v>
      </c>
      <c r="I101" s="158" t="s">
        <v>422</v>
      </c>
      <c r="J101" s="158" t="s">
        <v>423</v>
      </c>
      <c r="K101" s="158">
        <v>1.602127277E10</v>
      </c>
      <c r="L101" s="158">
        <v>9.4724789373E10</v>
      </c>
      <c r="M101" s="158">
        <v>6.9613442E7</v>
      </c>
      <c r="N101" s="158" t="s">
        <v>424</v>
      </c>
      <c r="O101" s="158" t="s">
        <v>425</v>
      </c>
      <c r="P101" s="162">
        <v>12900.0</v>
      </c>
      <c r="Q101" s="158">
        <v>1.0</v>
      </c>
      <c r="R101" s="162">
        <v>12900.0</v>
      </c>
      <c r="S101" s="158">
        <v>0.0</v>
      </c>
      <c r="T101" s="162">
        <v>12900.0</v>
      </c>
      <c r="U101" s="158">
        <v>200.0</v>
      </c>
      <c r="V101" s="158">
        <v>0.0</v>
      </c>
      <c r="W101" s="158">
        <v>200.0</v>
      </c>
      <c r="X101" s="162">
        <v>11233.0</v>
      </c>
      <c r="Y101" s="158">
        <v>10.5</v>
      </c>
      <c r="Z101" s="158">
        <v>0.0</v>
      </c>
      <c r="AA101" s="162">
        <v>1334.0</v>
      </c>
      <c r="AB101" s="158">
        <v>133.0</v>
      </c>
    </row>
    <row r="102" hidden="1">
      <c r="A102" s="158" t="s">
        <v>420</v>
      </c>
      <c r="B102" s="159">
        <v>46159.0</v>
      </c>
      <c r="C102" s="160">
        <v>46143.0</v>
      </c>
      <c r="D102" s="159">
        <v>46155.0</v>
      </c>
      <c r="E102" s="171">
        <v>46155.0</v>
      </c>
      <c r="F102" s="158">
        <v>2.3100190453226E13</v>
      </c>
      <c r="G102" s="158" t="s">
        <v>421</v>
      </c>
      <c r="H102" s="158">
        <v>2584.0</v>
      </c>
      <c r="I102" s="158" t="s">
        <v>422</v>
      </c>
      <c r="J102" s="158" t="s">
        <v>423</v>
      </c>
      <c r="K102" s="158">
        <v>1.602127277E10</v>
      </c>
      <c r="L102" s="158">
        <v>9.4724789373E10</v>
      </c>
      <c r="M102" s="158">
        <v>6.9613442E7</v>
      </c>
      <c r="N102" s="158" t="s">
        <v>424</v>
      </c>
      <c r="O102" s="158" t="s">
        <v>425</v>
      </c>
      <c r="P102" s="162">
        <v>12900.0</v>
      </c>
      <c r="Q102" s="158">
        <v>1.0</v>
      </c>
      <c r="R102" s="162">
        <v>12900.0</v>
      </c>
      <c r="S102" s="158">
        <v>0.0</v>
      </c>
      <c r="T102" s="162">
        <v>12900.0</v>
      </c>
      <c r="U102" s="158">
        <v>200.0</v>
      </c>
      <c r="V102" s="158">
        <v>0.0</v>
      </c>
      <c r="W102" s="158">
        <v>200.0</v>
      </c>
      <c r="X102" s="162">
        <v>11233.0</v>
      </c>
      <c r="Y102" s="158">
        <v>10.5</v>
      </c>
      <c r="Z102" s="158">
        <v>0.0</v>
      </c>
      <c r="AA102" s="162">
        <v>1334.0</v>
      </c>
      <c r="AB102" s="158">
        <v>133.0</v>
      </c>
    </row>
    <row r="103" hidden="1">
      <c r="A103" s="158" t="s">
        <v>420</v>
      </c>
      <c r="B103" s="159">
        <v>46159.0</v>
      </c>
      <c r="C103" s="160">
        <v>46143.0</v>
      </c>
      <c r="D103" s="159">
        <v>46156.0</v>
      </c>
      <c r="E103" s="159">
        <v>46156.0</v>
      </c>
      <c r="F103" s="158">
        <v>2.8100190227751E13</v>
      </c>
      <c r="G103" s="158" t="s">
        <v>421</v>
      </c>
      <c r="H103" s="158">
        <v>9395.0</v>
      </c>
      <c r="I103" s="158" t="s">
        <v>440</v>
      </c>
      <c r="J103" s="158" t="s">
        <v>423</v>
      </c>
      <c r="K103" s="158">
        <v>1.6174979045E10</v>
      </c>
      <c r="L103" s="158">
        <v>9.5318158389E10</v>
      </c>
      <c r="M103" s="158">
        <v>7.2864477E7</v>
      </c>
      <c r="N103" s="158" t="s">
        <v>441</v>
      </c>
      <c r="O103" s="158" t="s">
        <v>442</v>
      </c>
      <c r="P103" s="162">
        <v>6200.0</v>
      </c>
      <c r="Q103" s="158">
        <v>1.0</v>
      </c>
      <c r="R103" s="162">
        <v>6200.0</v>
      </c>
      <c r="S103" s="158">
        <v>0.0</v>
      </c>
      <c r="T103" s="162">
        <v>6200.0</v>
      </c>
      <c r="U103" s="158">
        <v>0.0</v>
      </c>
      <c r="V103" s="158">
        <v>0.0</v>
      </c>
      <c r="W103" s="158">
        <v>0.0</v>
      </c>
      <c r="X103" s="162">
        <v>5463.0</v>
      </c>
      <c r="Y103" s="158">
        <v>10.8</v>
      </c>
      <c r="Z103" s="158">
        <v>0.0</v>
      </c>
      <c r="AA103" s="158">
        <v>670.0</v>
      </c>
      <c r="AB103" s="158">
        <v>67.0</v>
      </c>
    </row>
    <row r="104">
      <c r="A104" s="158" t="s">
        <v>420</v>
      </c>
      <c r="B104" s="159">
        <v>46159.0</v>
      </c>
      <c r="C104" s="160">
        <v>46143.0</v>
      </c>
      <c r="D104" s="159">
        <v>46156.0</v>
      </c>
      <c r="E104" s="159">
        <v>46156.0</v>
      </c>
      <c r="F104" s="158">
        <v>7.1001910797E12</v>
      </c>
      <c r="G104" s="158" t="s">
        <v>421</v>
      </c>
      <c r="H104" s="158">
        <v>1876.0</v>
      </c>
      <c r="I104" s="158" t="s">
        <v>430</v>
      </c>
      <c r="J104" s="158" t="s">
        <v>423</v>
      </c>
      <c r="K104" s="158">
        <v>1.6175031597E10</v>
      </c>
      <c r="L104" s="158">
        <v>9.5318374574E10</v>
      </c>
      <c r="M104" s="158">
        <v>7.2864548E7</v>
      </c>
      <c r="N104" s="158" t="s">
        <v>443</v>
      </c>
      <c r="O104" s="158" t="s">
        <v>444</v>
      </c>
      <c r="P104" s="162">
        <v>9600.0</v>
      </c>
      <c r="Q104" s="158">
        <v>1.0</v>
      </c>
      <c r="R104" s="162">
        <v>9600.0</v>
      </c>
      <c r="S104" s="158">
        <v>0.0</v>
      </c>
      <c r="T104" s="162">
        <v>9600.0</v>
      </c>
      <c r="U104" s="158">
        <v>0.0</v>
      </c>
      <c r="V104" s="158">
        <v>0.0</v>
      </c>
      <c r="W104" s="158">
        <v>0.0</v>
      </c>
      <c r="X104" s="162">
        <v>8491.0</v>
      </c>
      <c r="Y104" s="158">
        <v>10.5</v>
      </c>
      <c r="Z104" s="158">
        <v>0.0</v>
      </c>
      <c r="AA104" s="162">
        <v>1008.0</v>
      </c>
      <c r="AB104" s="158">
        <v>101.0</v>
      </c>
    </row>
    <row r="105" hidden="1">
      <c r="A105" s="158" t="s">
        <v>420</v>
      </c>
      <c r="B105" s="159">
        <v>46159.0</v>
      </c>
      <c r="C105" s="160">
        <v>46143.0</v>
      </c>
      <c r="D105" s="159">
        <v>46157.0</v>
      </c>
      <c r="E105" s="159">
        <v>46157.0</v>
      </c>
      <c r="F105" s="158">
        <v>1.6100191253736E13</v>
      </c>
      <c r="G105" s="158" t="s">
        <v>421</v>
      </c>
      <c r="H105" s="158">
        <v>1876.0</v>
      </c>
      <c r="I105" s="158" t="s">
        <v>430</v>
      </c>
      <c r="J105" s="158" t="s">
        <v>423</v>
      </c>
      <c r="K105" s="158">
        <v>1.6175031597E10</v>
      </c>
      <c r="L105" s="158">
        <v>9.5318374575E10</v>
      </c>
      <c r="M105" s="158">
        <v>7.2864536E7</v>
      </c>
      <c r="N105" s="158" t="s">
        <v>443</v>
      </c>
      <c r="O105" s="158" t="s">
        <v>445</v>
      </c>
      <c r="P105" s="162">
        <v>9600.0</v>
      </c>
      <c r="Q105" s="158">
        <v>1.0</v>
      </c>
      <c r="R105" s="162">
        <v>9600.0</v>
      </c>
      <c r="S105" s="158">
        <v>0.0</v>
      </c>
      <c r="T105" s="162">
        <v>9600.0</v>
      </c>
      <c r="U105" s="158">
        <v>0.0</v>
      </c>
      <c r="V105" s="158">
        <v>0.0</v>
      </c>
      <c r="W105" s="158">
        <v>0.0</v>
      </c>
      <c r="X105" s="162">
        <v>8491.0</v>
      </c>
      <c r="Y105" s="158">
        <v>10.5</v>
      </c>
      <c r="Z105" s="158">
        <v>0.0</v>
      </c>
      <c r="AA105" s="162">
        <v>1008.0</v>
      </c>
      <c r="AB105" s="158">
        <v>101.0</v>
      </c>
    </row>
    <row r="106" hidden="1">
      <c r="A106" s="158" t="s">
        <v>420</v>
      </c>
      <c r="B106" s="159">
        <v>46159.0</v>
      </c>
      <c r="C106" s="160">
        <v>46143.0</v>
      </c>
      <c r="D106" s="159">
        <v>46158.0</v>
      </c>
      <c r="E106" s="171">
        <v>46158.0</v>
      </c>
      <c r="F106" s="158">
        <v>7.100191314679E12</v>
      </c>
      <c r="G106" s="158" t="s">
        <v>421</v>
      </c>
      <c r="H106" s="158">
        <v>2584.0</v>
      </c>
      <c r="I106" s="158" t="s">
        <v>422</v>
      </c>
      <c r="J106" s="158" t="s">
        <v>423</v>
      </c>
      <c r="K106" s="158">
        <v>1.602127277E10</v>
      </c>
      <c r="L106" s="158">
        <v>9.4724789373E10</v>
      </c>
      <c r="M106" s="158">
        <v>6.9613442E7</v>
      </c>
      <c r="N106" s="158" t="s">
        <v>424</v>
      </c>
      <c r="O106" s="158" t="s">
        <v>425</v>
      </c>
      <c r="P106" s="162">
        <v>12900.0</v>
      </c>
      <c r="Q106" s="158">
        <v>1.0</v>
      </c>
      <c r="R106" s="162">
        <v>12900.0</v>
      </c>
      <c r="S106" s="158">
        <v>0.0</v>
      </c>
      <c r="T106" s="162">
        <v>12900.0</v>
      </c>
      <c r="U106" s="158">
        <v>200.0</v>
      </c>
      <c r="V106" s="158">
        <v>0.0</v>
      </c>
      <c r="W106" s="158">
        <v>200.0</v>
      </c>
      <c r="X106" s="162">
        <v>11233.0</v>
      </c>
      <c r="Y106" s="158">
        <v>10.5</v>
      </c>
      <c r="Z106" s="158">
        <v>0.0</v>
      </c>
      <c r="AA106" s="162">
        <v>1334.0</v>
      </c>
      <c r="AB106" s="158">
        <v>133.0</v>
      </c>
    </row>
    <row r="107" hidden="1">
      <c r="A107" s="158" t="s">
        <v>420</v>
      </c>
      <c r="B107" s="159">
        <v>46159.0</v>
      </c>
      <c r="C107" s="160">
        <v>46143.0</v>
      </c>
      <c r="D107" s="159">
        <v>46158.0</v>
      </c>
      <c r="E107" s="171">
        <v>46158.0</v>
      </c>
      <c r="F107" s="158">
        <v>9.100190557024E12</v>
      </c>
      <c r="G107" s="158" t="s">
        <v>421</v>
      </c>
      <c r="H107" s="158">
        <v>2584.0</v>
      </c>
      <c r="I107" s="158" t="s">
        <v>422</v>
      </c>
      <c r="J107" s="158" t="s">
        <v>423</v>
      </c>
      <c r="K107" s="158">
        <v>1.602127277E10</v>
      </c>
      <c r="L107" s="158">
        <v>9.4724789373E10</v>
      </c>
      <c r="M107" s="158">
        <v>6.9613442E7</v>
      </c>
      <c r="N107" s="158" t="s">
        <v>424</v>
      </c>
      <c r="O107" s="158" t="s">
        <v>425</v>
      </c>
      <c r="P107" s="162">
        <v>12900.0</v>
      </c>
      <c r="Q107" s="158">
        <v>1.0</v>
      </c>
      <c r="R107" s="162">
        <v>12900.0</v>
      </c>
      <c r="S107" s="158">
        <v>0.0</v>
      </c>
      <c r="T107" s="162">
        <v>12900.0</v>
      </c>
      <c r="U107" s="158">
        <v>200.0</v>
      </c>
      <c r="V107" s="158">
        <v>0.0</v>
      </c>
      <c r="W107" s="158">
        <v>200.0</v>
      </c>
      <c r="X107" s="162">
        <v>11233.0</v>
      </c>
      <c r="Y107" s="158">
        <v>10.5</v>
      </c>
      <c r="Z107" s="158">
        <v>0.0</v>
      </c>
      <c r="AA107" s="162">
        <v>1334.0</v>
      </c>
      <c r="AB107" s="158">
        <v>133.0</v>
      </c>
    </row>
    <row r="108" hidden="1">
      <c r="A108" s="158" t="s">
        <v>420</v>
      </c>
      <c r="B108" s="159">
        <v>46159.0</v>
      </c>
      <c r="C108" s="160">
        <v>46143.0</v>
      </c>
      <c r="D108" s="159">
        <v>46158.0</v>
      </c>
      <c r="E108" s="171">
        <v>46158.0</v>
      </c>
      <c r="F108" s="158">
        <v>2.9100191045756E13</v>
      </c>
      <c r="G108" s="158" t="s">
        <v>421</v>
      </c>
      <c r="H108" s="158">
        <v>2584.0</v>
      </c>
      <c r="I108" s="158" t="s">
        <v>422</v>
      </c>
      <c r="J108" s="158" t="s">
        <v>423</v>
      </c>
      <c r="K108" s="158">
        <v>1.602127277E10</v>
      </c>
      <c r="L108" s="158">
        <v>9.4724789373E10</v>
      </c>
      <c r="M108" s="158">
        <v>6.9613442E7</v>
      </c>
      <c r="N108" s="158" t="s">
        <v>424</v>
      </c>
      <c r="O108" s="158" t="s">
        <v>425</v>
      </c>
      <c r="P108" s="162">
        <v>12900.0</v>
      </c>
      <c r="Q108" s="158">
        <v>1.0</v>
      </c>
      <c r="R108" s="162">
        <v>12900.0</v>
      </c>
      <c r="S108" s="158">
        <v>0.0</v>
      </c>
      <c r="T108" s="162">
        <v>12900.0</v>
      </c>
      <c r="U108" s="158">
        <v>200.0</v>
      </c>
      <c r="V108" s="158">
        <v>0.0</v>
      </c>
      <c r="W108" s="158">
        <v>200.0</v>
      </c>
      <c r="X108" s="162">
        <v>11233.0</v>
      </c>
      <c r="Y108" s="158">
        <v>10.5</v>
      </c>
      <c r="Z108" s="158">
        <v>0.0</v>
      </c>
      <c r="AA108" s="162">
        <v>1334.0</v>
      </c>
      <c r="AB108" s="158">
        <v>133.0</v>
      </c>
    </row>
    <row r="109" hidden="1">
      <c r="A109" s="158" t="s">
        <v>420</v>
      </c>
      <c r="B109" s="159">
        <v>46159.0</v>
      </c>
      <c r="C109" s="160">
        <v>46143.0</v>
      </c>
      <c r="D109" s="159">
        <v>46159.0</v>
      </c>
      <c r="E109" s="171">
        <v>46159.0</v>
      </c>
      <c r="F109" s="158">
        <v>1.10019139302E12</v>
      </c>
      <c r="G109" s="158" t="s">
        <v>421</v>
      </c>
      <c r="H109" s="158">
        <v>2584.0</v>
      </c>
      <c r="I109" s="158" t="s">
        <v>422</v>
      </c>
      <c r="J109" s="158" t="s">
        <v>423</v>
      </c>
      <c r="K109" s="158">
        <v>1.602127277E10</v>
      </c>
      <c r="L109" s="158">
        <v>9.4724789373E10</v>
      </c>
      <c r="M109" s="158">
        <v>6.9613442E7</v>
      </c>
      <c r="N109" s="158" t="s">
        <v>424</v>
      </c>
      <c r="O109" s="158" t="s">
        <v>425</v>
      </c>
      <c r="P109" s="162">
        <v>12900.0</v>
      </c>
      <c r="Q109" s="158">
        <v>1.0</v>
      </c>
      <c r="R109" s="162">
        <v>12900.0</v>
      </c>
      <c r="S109" s="158">
        <v>0.0</v>
      </c>
      <c r="T109" s="162">
        <v>12900.0</v>
      </c>
      <c r="U109" s="158">
        <v>200.0</v>
      </c>
      <c r="V109" s="158">
        <v>0.0</v>
      </c>
      <c r="W109" s="158">
        <v>200.0</v>
      </c>
      <c r="X109" s="162">
        <v>11233.0</v>
      </c>
      <c r="Y109" s="158">
        <v>10.5</v>
      </c>
      <c r="Z109" s="158">
        <v>0.0</v>
      </c>
      <c r="AA109" s="162">
        <v>1334.0</v>
      </c>
      <c r="AB109" s="158">
        <v>133.0</v>
      </c>
    </row>
    <row r="110" hidden="1">
      <c r="A110" s="158" t="s">
        <v>420</v>
      </c>
      <c r="B110" s="159">
        <v>46159.0</v>
      </c>
      <c r="C110" s="160">
        <v>46143.0</v>
      </c>
      <c r="D110" s="159">
        <v>46159.0</v>
      </c>
      <c r="E110" s="159">
        <v>46159.0</v>
      </c>
      <c r="F110" s="158">
        <v>2.0100191293531E13</v>
      </c>
      <c r="G110" s="158" t="s">
        <v>421</v>
      </c>
      <c r="H110" s="158">
        <v>2584.0</v>
      </c>
      <c r="I110" s="158" t="s">
        <v>422</v>
      </c>
      <c r="J110" s="158" t="s">
        <v>423</v>
      </c>
      <c r="K110" s="158">
        <v>1.6099312814E10</v>
      </c>
      <c r="L110" s="158">
        <v>9.501851033E10</v>
      </c>
      <c r="M110" s="158">
        <v>7.0897741E7</v>
      </c>
      <c r="N110" s="158" t="s">
        <v>438</v>
      </c>
      <c r="O110" s="158" t="s">
        <v>439</v>
      </c>
      <c r="P110" s="162">
        <v>9500.0</v>
      </c>
      <c r="Q110" s="158">
        <v>1.0</v>
      </c>
      <c r="R110" s="162">
        <v>9500.0</v>
      </c>
      <c r="S110" s="158">
        <v>0.0</v>
      </c>
      <c r="T110" s="162">
        <v>9500.0</v>
      </c>
      <c r="U110" s="162">
        <v>1500.0</v>
      </c>
      <c r="V110" s="158">
        <v>0.0</v>
      </c>
      <c r="W110" s="162">
        <v>1500.0</v>
      </c>
      <c r="X110" s="162">
        <v>7076.0</v>
      </c>
      <c r="Y110" s="158">
        <v>10.5</v>
      </c>
      <c r="Z110" s="158">
        <v>0.0</v>
      </c>
      <c r="AA110" s="158">
        <v>840.0</v>
      </c>
      <c r="AB110" s="158">
        <v>84.0</v>
      </c>
    </row>
    <row r="111" hidden="1">
      <c r="A111" s="158" t="s">
        <v>420</v>
      </c>
      <c r="B111" s="159">
        <v>46159.0</v>
      </c>
      <c r="C111" s="160">
        <v>46143.0</v>
      </c>
      <c r="D111" s="159">
        <v>46159.0</v>
      </c>
      <c r="E111" s="171">
        <v>46159.0</v>
      </c>
      <c r="F111" s="158">
        <v>3.0100191423292E13</v>
      </c>
      <c r="G111" s="158" t="s">
        <v>421</v>
      </c>
      <c r="H111" s="158">
        <v>2584.0</v>
      </c>
      <c r="I111" s="158" t="s">
        <v>422</v>
      </c>
      <c r="J111" s="158" t="s">
        <v>423</v>
      </c>
      <c r="K111" s="158">
        <v>1.602127277E10</v>
      </c>
      <c r="L111" s="158">
        <v>9.4724789373E10</v>
      </c>
      <c r="M111" s="158">
        <v>6.9613442E7</v>
      </c>
      <c r="N111" s="158" t="s">
        <v>424</v>
      </c>
      <c r="O111" s="158" t="s">
        <v>425</v>
      </c>
      <c r="P111" s="162">
        <v>12900.0</v>
      </c>
      <c r="Q111" s="158">
        <v>1.0</v>
      </c>
      <c r="R111" s="162">
        <v>12900.0</v>
      </c>
      <c r="S111" s="158">
        <v>0.0</v>
      </c>
      <c r="T111" s="162">
        <v>12900.0</v>
      </c>
      <c r="U111" s="158">
        <v>200.0</v>
      </c>
      <c r="V111" s="158">
        <v>0.0</v>
      </c>
      <c r="W111" s="158">
        <v>200.0</v>
      </c>
      <c r="X111" s="162">
        <v>11233.0</v>
      </c>
      <c r="Y111" s="158">
        <v>10.5</v>
      </c>
      <c r="Z111" s="158">
        <v>0.0</v>
      </c>
      <c r="AA111" s="162">
        <v>1334.0</v>
      </c>
      <c r="AB111" s="158">
        <v>133.0</v>
      </c>
    </row>
    <row r="112" hidden="1">
      <c r="A112" s="158" t="s">
        <v>420</v>
      </c>
      <c r="B112" s="159">
        <v>46159.0</v>
      </c>
      <c r="C112" s="160">
        <v>46143.0</v>
      </c>
      <c r="D112" s="159">
        <v>46159.0</v>
      </c>
      <c r="E112" s="171">
        <v>46159.0</v>
      </c>
      <c r="F112" s="158">
        <v>2.0100191329606E13</v>
      </c>
      <c r="G112" s="158" t="s">
        <v>421</v>
      </c>
      <c r="H112" s="158">
        <v>2584.0</v>
      </c>
      <c r="I112" s="158" t="s">
        <v>422</v>
      </c>
      <c r="J112" s="158" t="s">
        <v>423</v>
      </c>
      <c r="K112" s="158">
        <v>1.602127277E10</v>
      </c>
      <c r="L112" s="158">
        <v>9.4724789373E10</v>
      </c>
      <c r="M112" s="158">
        <v>6.9613442E7</v>
      </c>
      <c r="N112" s="158" t="s">
        <v>424</v>
      </c>
      <c r="O112" s="158" t="s">
        <v>425</v>
      </c>
      <c r="P112" s="162">
        <v>12900.0</v>
      </c>
      <c r="Q112" s="158">
        <v>1.0</v>
      </c>
      <c r="R112" s="162">
        <v>12900.0</v>
      </c>
      <c r="S112" s="158">
        <v>0.0</v>
      </c>
      <c r="T112" s="162">
        <v>12900.0</v>
      </c>
      <c r="U112" s="158">
        <v>200.0</v>
      </c>
      <c r="V112" s="158">
        <v>0.0</v>
      </c>
      <c r="W112" s="158">
        <v>200.0</v>
      </c>
      <c r="X112" s="162">
        <v>11233.0</v>
      </c>
      <c r="Y112" s="158">
        <v>10.5</v>
      </c>
      <c r="Z112" s="158">
        <v>0.0</v>
      </c>
      <c r="AA112" s="162">
        <v>1334.0</v>
      </c>
      <c r="AB112" s="158">
        <v>133.0</v>
      </c>
    </row>
    <row r="113" hidden="1">
      <c r="A113" s="158" t="s">
        <v>420</v>
      </c>
      <c r="B113" s="159">
        <v>46166.0</v>
      </c>
      <c r="C113" s="160">
        <v>46143.0</v>
      </c>
      <c r="D113" s="159">
        <v>46160.0</v>
      </c>
      <c r="E113" s="165">
        <v>46160.0</v>
      </c>
      <c r="F113" s="158">
        <v>1.6100191253736E13</v>
      </c>
      <c r="G113" s="158" t="s">
        <v>429</v>
      </c>
      <c r="H113" s="158">
        <v>1876.0</v>
      </c>
      <c r="I113" s="158" t="s">
        <v>430</v>
      </c>
      <c r="J113" s="158" t="s">
        <v>423</v>
      </c>
      <c r="K113" s="158">
        <v>1.6175031597E10</v>
      </c>
      <c r="L113" s="158">
        <v>9.5318374575E10</v>
      </c>
      <c r="M113" s="158">
        <v>7.2864536E7</v>
      </c>
      <c r="N113" s="158" t="s">
        <v>443</v>
      </c>
      <c r="O113" s="158" t="s">
        <v>445</v>
      </c>
      <c r="P113" s="162">
        <v>9600.0</v>
      </c>
      <c r="Q113" s="158">
        <v>-1.0</v>
      </c>
      <c r="R113" s="162">
        <v>-9600.0</v>
      </c>
      <c r="S113" s="158">
        <v>0.0</v>
      </c>
      <c r="T113" s="162">
        <v>-9600.0</v>
      </c>
      <c r="U113" s="158">
        <v>0.0</v>
      </c>
      <c r="V113" s="158">
        <v>0.0</v>
      </c>
      <c r="W113" s="158">
        <v>0.0</v>
      </c>
      <c r="X113" s="162">
        <v>-8491.0</v>
      </c>
      <c r="Y113" s="158">
        <v>10.5</v>
      </c>
      <c r="Z113" s="158">
        <v>0.0</v>
      </c>
      <c r="AA113" s="162">
        <v>-1008.0</v>
      </c>
      <c r="AB113" s="158">
        <v>-101.0</v>
      </c>
    </row>
    <row r="114">
      <c r="A114" s="158" t="s">
        <v>420</v>
      </c>
      <c r="B114" s="159">
        <v>46166.0</v>
      </c>
      <c r="C114" s="160">
        <v>46143.0</v>
      </c>
      <c r="D114" s="159">
        <v>46160.0</v>
      </c>
      <c r="E114" s="159">
        <v>46160.0</v>
      </c>
      <c r="F114" s="158">
        <v>7.10019182553E12</v>
      </c>
      <c r="G114" s="158" t="s">
        <v>421</v>
      </c>
      <c r="H114" s="158">
        <v>1876.0</v>
      </c>
      <c r="I114" s="158" t="s">
        <v>430</v>
      </c>
      <c r="J114" s="158" t="s">
        <v>423</v>
      </c>
      <c r="K114" s="158">
        <v>1.6175031597E10</v>
      </c>
      <c r="L114" s="158">
        <v>9.5318374574E10</v>
      </c>
      <c r="M114" s="158">
        <v>7.2864548E7</v>
      </c>
      <c r="N114" s="158" t="s">
        <v>443</v>
      </c>
      <c r="O114" s="158" t="s">
        <v>444</v>
      </c>
      <c r="P114" s="162">
        <v>9600.0</v>
      </c>
      <c r="Q114" s="158">
        <v>1.0</v>
      </c>
      <c r="R114" s="162">
        <v>9600.0</v>
      </c>
      <c r="S114" s="158">
        <v>0.0</v>
      </c>
      <c r="T114" s="162">
        <v>9600.0</v>
      </c>
      <c r="U114" s="158">
        <v>0.0</v>
      </c>
      <c r="V114" s="158">
        <v>0.0</v>
      </c>
      <c r="W114" s="158">
        <v>0.0</v>
      </c>
      <c r="X114" s="162">
        <v>8491.0</v>
      </c>
      <c r="Y114" s="158">
        <v>10.5</v>
      </c>
      <c r="Z114" s="158">
        <v>0.0</v>
      </c>
      <c r="AA114" s="162">
        <v>1008.0</v>
      </c>
      <c r="AB114" s="158">
        <v>101.0</v>
      </c>
    </row>
    <row r="115" hidden="1">
      <c r="A115" s="158" t="s">
        <v>420</v>
      </c>
      <c r="B115" s="159">
        <v>46166.0</v>
      </c>
      <c r="C115" s="160">
        <v>46143.0</v>
      </c>
      <c r="D115" s="159">
        <v>46161.0</v>
      </c>
      <c r="E115" s="171">
        <v>46161.0</v>
      </c>
      <c r="F115" s="158">
        <v>2.1100191994513E13</v>
      </c>
      <c r="G115" s="158" t="s">
        <v>421</v>
      </c>
      <c r="H115" s="158">
        <v>2584.0</v>
      </c>
      <c r="I115" s="158" t="s">
        <v>422</v>
      </c>
      <c r="J115" s="158" t="s">
        <v>423</v>
      </c>
      <c r="K115" s="158">
        <v>1.602127277E10</v>
      </c>
      <c r="L115" s="158">
        <v>9.4724789373E10</v>
      </c>
      <c r="M115" s="158">
        <v>6.9613442E7</v>
      </c>
      <c r="N115" s="158" t="s">
        <v>424</v>
      </c>
      <c r="O115" s="158" t="s">
        <v>425</v>
      </c>
      <c r="P115" s="162">
        <v>12900.0</v>
      </c>
      <c r="Q115" s="158">
        <v>1.0</v>
      </c>
      <c r="R115" s="162">
        <v>12900.0</v>
      </c>
      <c r="S115" s="158">
        <v>0.0</v>
      </c>
      <c r="T115" s="162">
        <v>12900.0</v>
      </c>
      <c r="U115" s="158">
        <v>200.0</v>
      </c>
      <c r="V115" s="158">
        <v>0.0</v>
      </c>
      <c r="W115" s="158">
        <v>200.0</v>
      </c>
      <c r="X115" s="162">
        <v>11233.0</v>
      </c>
      <c r="Y115" s="158">
        <v>10.5</v>
      </c>
      <c r="Z115" s="158">
        <v>0.0</v>
      </c>
      <c r="AA115" s="162">
        <v>1334.0</v>
      </c>
      <c r="AB115" s="158">
        <v>133.0</v>
      </c>
    </row>
    <row r="116" hidden="1">
      <c r="A116" s="158" t="s">
        <v>420</v>
      </c>
      <c r="B116" s="159">
        <v>46166.0</v>
      </c>
      <c r="C116" s="160">
        <v>46143.0</v>
      </c>
      <c r="D116" s="159">
        <v>46161.0</v>
      </c>
      <c r="E116" s="171">
        <v>46161.0</v>
      </c>
      <c r="F116" s="158">
        <v>2.8100191332026E13</v>
      </c>
      <c r="G116" s="158" t="s">
        <v>421</v>
      </c>
      <c r="H116" s="158">
        <v>2584.0</v>
      </c>
      <c r="I116" s="158" t="s">
        <v>422</v>
      </c>
      <c r="J116" s="158" t="s">
        <v>423</v>
      </c>
      <c r="K116" s="158">
        <v>1.602127277E10</v>
      </c>
      <c r="L116" s="158">
        <v>9.4724789373E10</v>
      </c>
      <c r="M116" s="158">
        <v>6.9613442E7</v>
      </c>
      <c r="N116" s="158" t="s">
        <v>424</v>
      </c>
      <c r="O116" s="158" t="s">
        <v>425</v>
      </c>
      <c r="P116" s="162">
        <v>12900.0</v>
      </c>
      <c r="Q116" s="158">
        <v>1.0</v>
      </c>
      <c r="R116" s="162">
        <v>12900.0</v>
      </c>
      <c r="S116" s="158">
        <v>0.0</v>
      </c>
      <c r="T116" s="162">
        <v>12900.0</v>
      </c>
      <c r="U116" s="158">
        <v>200.0</v>
      </c>
      <c r="V116" s="158">
        <v>0.0</v>
      </c>
      <c r="W116" s="158">
        <v>200.0</v>
      </c>
      <c r="X116" s="162">
        <v>11233.0</v>
      </c>
      <c r="Y116" s="158">
        <v>10.5</v>
      </c>
      <c r="Z116" s="158">
        <v>0.0</v>
      </c>
      <c r="AA116" s="162">
        <v>1334.0</v>
      </c>
      <c r="AB116" s="158">
        <v>133.0</v>
      </c>
    </row>
    <row r="117" hidden="1">
      <c r="A117" s="158" t="s">
        <v>420</v>
      </c>
      <c r="B117" s="159">
        <v>46166.0</v>
      </c>
      <c r="C117" s="160">
        <v>46143.0</v>
      </c>
      <c r="D117" s="159">
        <v>46161.0</v>
      </c>
      <c r="E117" s="171">
        <v>46161.0</v>
      </c>
      <c r="F117" s="158">
        <v>1.910019165183E13</v>
      </c>
      <c r="G117" s="158" t="s">
        <v>421</v>
      </c>
      <c r="H117" s="158">
        <v>2584.0</v>
      </c>
      <c r="I117" s="158" t="s">
        <v>422</v>
      </c>
      <c r="J117" s="158" t="s">
        <v>423</v>
      </c>
      <c r="K117" s="158">
        <v>1.602127277E10</v>
      </c>
      <c r="L117" s="158">
        <v>9.4724789373E10</v>
      </c>
      <c r="M117" s="158">
        <v>6.9613442E7</v>
      </c>
      <c r="N117" s="158" t="s">
        <v>424</v>
      </c>
      <c r="O117" s="158" t="s">
        <v>425</v>
      </c>
      <c r="P117" s="162">
        <v>12900.0</v>
      </c>
      <c r="Q117" s="158">
        <v>1.0</v>
      </c>
      <c r="R117" s="162">
        <v>12900.0</v>
      </c>
      <c r="S117" s="158">
        <v>0.0</v>
      </c>
      <c r="T117" s="162">
        <v>12900.0</v>
      </c>
      <c r="U117" s="158">
        <v>200.0</v>
      </c>
      <c r="V117" s="158">
        <v>0.0</v>
      </c>
      <c r="W117" s="158">
        <v>200.0</v>
      </c>
      <c r="X117" s="162">
        <v>11233.0</v>
      </c>
      <c r="Y117" s="158">
        <v>10.5</v>
      </c>
      <c r="Z117" s="158">
        <v>0.0</v>
      </c>
      <c r="AA117" s="162">
        <v>1334.0</v>
      </c>
      <c r="AB117" s="158">
        <v>133.0</v>
      </c>
    </row>
    <row r="118" hidden="1">
      <c r="A118" s="158" t="s">
        <v>420</v>
      </c>
      <c r="B118" s="159">
        <v>46166.0</v>
      </c>
      <c r="C118" s="160">
        <v>46143.0</v>
      </c>
      <c r="D118" s="159">
        <v>46161.0</v>
      </c>
      <c r="E118" s="166">
        <v>46161.0</v>
      </c>
      <c r="F118" s="158">
        <v>1.9100191662857E13</v>
      </c>
      <c r="G118" s="158" t="s">
        <v>421</v>
      </c>
      <c r="H118" s="158">
        <v>2584.0</v>
      </c>
      <c r="I118" s="158" t="s">
        <v>422</v>
      </c>
      <c r="J118" s="158" t="s">
        <v>423</v>
      </c>
      <c r="K118" s="158">
        <v>1.602127277E10</v>
      </c>
      <c r="L118" s="158">
        <v>9.4724789373E10</v>
      </c>
      <c r="M118" s="158">
        <v>6.9613442E7</v>
      </c>
      <c r="N118" s="158" t="s">
        <v>424</v>
      </c>
      <c r="O118" s="158" t="s">
        <v>425</v>
      </c>
      <c r="P118" s="162">
        <v>12900.0</v>
      </c>
      <c r="Q118" s="158">
        <v>1.0</v>
      </c>
      <c r="R118" s="162">
        <v>12900.0</v>
      </c>
      <c r="S118" s="158">
        <v>0.0</v>
      </c>
      <c r="T118" s="162">
        <v>12900.0</v>
      </c>
      <c r="U118" s="158">
        <v>200.0</v>
      </c>
      <c r="V118" s="158">
        <v>0.0</v>
      </c>
      <c r="W118" s="158">
        <v>200.0</v>
      </c>
      <c r="X118" s="162">
        <v>11233.0</v>
      </c>
      <c r="Y118" s="158">
        <v>10.5</v>
      </c>
      <c r="Z118" s="158">
        <v>0.0</v>
      </c>
      <c r="AA118" s="162">
        <v>1334.0</v>
      </c>
      <c r="AB118" s="158">
        <v>133.0</v>
      </c>
    </row>
    <row r="119" hidden="1">
      <c r="A119" s="158" t="s">
        <v>420</v>
      </c>
      <c r="B119" s="159">
        <v>46166.0</v>
      </c>
      <c r="C119" s="160">
        <v>46143.0</v>
      </c>
      <c r="D119" s="159">
        <v>46161.0</v>
      </c>
      <c r="E119" s="166">
        <v>46161.0</v>
      </c>
      <c r="F119" s="158">
        <v>2.4100191844932E13</v>
      </c>
      <c r="G119" s="158" t="s">
        <v>421</v>
      </c>
      <c r="H119" s="158">
        <v>2584.0</v>
      </c>
      <c r="I119" s="158" t="s">
        <v>422</v>
      </c>
      <c r="J119" s="158" t="s">
        <v>423</v>
      </c>
      <c r="K119" s="158">
        <v>1.602127277E10</v>
      </c>
      <c r="L119" s="158">
        <v>9.4724789373E10</v>
      </c>
      <c r="M119" s="158">
        <v>6.9613442E7</v>
      </c>
      <c r="N119" s="158" t="s">
        <v>424</v>
      </c>
      <c r="O119" s="158" t="s">
        <v>425</v>
      </c>
      <c r="P119" s="162">
        <v>12900.0</v>
      </c>
      <c r="Q119" s="158">
        <v>1.0</v>
      </c>
      <c r="R119" s="162">
        <v>12900.0</v>
      </c>
      <c r="S119" s="158">
        <v>0.0</v>
      </c>
      <c r="T119" s="162">
        <v>12900.0</v>
      </c>
      <c r="U119" s="158">
        <v>200.0</v>
      </c>
      <c r="V119" s="158">
        <v>0.0</v>
      </c>
      <c r="W119" s="158">
        <v>200.0</v>
      </c>
      <c r="X119" s="162">
        <v>11233.0</v>
      </c>
      <c r="Y119" s="158">
        <v>10.5</v>
      </c>
      <c r="Z119" s="158">
        <v>0.0</v>
      </c>
      <c r="AA119" s="162">
        <v>1334.0</v>
      </c>
      <c r="AB119" s="158">
        <v>133.0</v>
      </c>
    </row>
    <row r="120" hidden="1">
      <c r="A120" s="158" t="s">
        <v>420</v>
      </c>
      <c r="B120" s="159">
        <v>46166.0</v>
      </c>
      <c r="C120" s="160">
        <v>46143.0</v>
      </c>
      <c r="D120" s="159">
        <v>46162.0</v>
      </c>
      <c r="E120" s="159">
        <v>46162.0</v>
      </c>
      <c r="F120" s="158">
        <v>2.6100191657318E13</v>
      </c>
      <c r="G120" s="158" t="s">
        <v>421</v>
      </c>
      <c r="H120" s="158">
        <v>2584.0</v>
      </c>
      <c r="I120" s="158" t="s">
        <v>422</v>
      </c>
      <c r="J120" s="158" t="s">
        <v>423</v>
      </c>
      <c r="K120" s="158">
        <v>1.6099312814E10</v>
      </c>
      <c r="L120" s="158">
        <v>9.501851033E10</v>
      </c>
      <c r="M120" s="158">
        <v>7.0897741E7</v>
      </c>
      <c r="N120" s="158" t="s">
        <v>438</v>
      </c>
      <c r="O120" s="158" t="s">
        <v>439</v>
      </c>
      <c r="P120" s="162">
        <v>9500.0</v>
      </c>
      <c r="Q120" s="158">
        <v>1.0</v>
      </c>
      <c r="R120" s="162">
        <v>9500.0</v>
      </c>
      <c r="S120" s="158">
        <v>0.0</v>
      </c>
      <c r="T120" s="162">
        <v>9500.0</v>
      </c>
      <c r="U120" s="158">
        <v>100.0</v>
      </c>
      <c r="V120" s="158">
        <v>0.0</v>
      </c>
      <c r="W120" s="158">
        <v>100.0</v>
      </c>
      <c r="X120" s="162">
        <v>8314.0</v>
      </c>
      <c r="Y120" s="158">
        <v>10.5</v>
      </c>
      <c r="Z120" s="158">
        <v>0.0</v>
      </c>
      <c r="AA120" s="158">
        <v>987.0</v>
      </c>
      <c r="AB120" s="158">
        <v>99.0</v>
      </c>
    </row>
    <row r="121" hidden="1">
      <c r="A121" s="158" t="s">
        <v>420</v>
      </c>
      <c r="B121" s="159">
        <v>46166.0</v>
      </c>
      <c r="C121" s="160">
        <v>46143.0</v>
      </c>
      <c r="D121" s="159">
        <v>46162.0</v>
      </c>
      <c r="E121" s="166">
        <v>46162.0</v>
      </c>
      <c r="F121" s="158">
        <v>6.100191727348E12</v>
      </c>
      <c r="G121" s="158" t="s">
        <v>421</v>
      </c>
      <c r="H121" s="158">
        <v>2584.0</v>
      </c>
      <c r="I121" s="158" t="s">
        <v>422</v>
      </c>
      <c r="J121" s="158" t="s">
        <v>423</v>
      </c>
      <c r="K121" s="158">
        <v>1.602127277E10</v>
      </c>
      <c r="L121" s="158">
        <v>9.4724789373E10</v>
      </c>
      <c r="M121" s="158">
        <v>6.9613442E7</v>
      </c>
      <c r="N121" s="158" t="s">
        <v>424</v>
      </c>
      <c r="O121" s="158" t="s">
        <v>425</v>
      </c>
      <c r="P121" s="162">
        <v>12900.0</v>
      </c>
      <c r="Q121" s="158">
        <v>1.0</v>
      </c>
      <c r="R121" s="162">
        <v>12900.0</v>
      </c>
      <c r="S121" s="158">
        <v>0.0</v>
      </c>
      <c r="T121" s="162">
        <v>12900.0</v>
      </c>
      <c r="U121" s="158">
        <v>200.0</v>
      </c>
      <c r="V121" s="158">
        <v>0.0</v>
      </c>
      <c r="W121" s="158">
        <v>200.0</v>
      </c>
      <c r="X121" s="162">
        <v>11233.0</v>
      </c>
      <c r="Y121" s="158">
        <v>10.5</v>
      </c>
      <c r="Z121" s="158">
        <v>0.0</v>
      </c>
      <c r="AA121" s="162">
        <v>1334.0</v>
      </c>
      <c r="AB121" s="158">
        <v>133.0</v>
      </c>
    </row>
    <row r="122" hidden="1">
      <c r="A122" s="158" t="s">
        <v>420</v>
      </c>
      <c r="B122" s="159">
        <v>46166.0</v>
      </c>
      <c r="C122" s="160">
        <v>46143.0</v>
      </c>
      <c r="D122" s="159">
        <v>46162.0</v>
      </c>
      <c r="E122" s="166">
        <v>46162.0</v>
      </c>
      <c r="F122" s="158">
        <v>2.6100191784856E13</v>
      </c>
      <c r="G122" s="158" t="s">
        <v>421</v>
      </c>
      <c r="H122" s="158">
        <v>2584.0</v>
      </c>
      <c r="I122" s="158" t="s">
        <v>422</v>
      </c>
      <c r="J122" s="158" t="s">
        <v>423</v>
      </c>
      <c r="K122" s="158">
        <v>1.602127277E10</v>
      </c>
      <c r="L122" s="158">
        <v>9.4724789373E10</v>
      </c>
      <c r="M122" s="158">
        <v>6.9613442E7</v>
      </c>
      <c r="N122" s="158" t="s">
        <v>424</v>
      </c>
      <c r="O122" s="158" t="s">
        <v>425</v>
      </c>
      <c r="P122" s="162">
        <v>12900.0</v>
      </c>
      <c r="Q122" s="158">
        <v>1.0</v>
      </c>
      <c r="R122" s="162">
        <v>12900.0</v>
      </c>
      <c r="S122" s="158">
        <v>0.0</v>
      </c>
      <c r="T122" s="162">
        <v>12900.0</v>
      </c>
      <c r="U122" s="158">
        <v>200.0</v>
      </c>
      <c r="V122" s="158">
        <v>0.0</v>
      </c>
      <c r="W122" s="158">
        <v>200.0</v>
      </c>
      <c r="X122" s="162">
        <v>11233.0</v>
      </c>
      <c r="Y122" s="158">
        <v>10.5</v>
      </c>
      <c r="Z122" s="158">
        <v>0.0</v>
      </c>
      <c r="AA122" s="162">
        <v>1334.0</v>
      </c>
      <c r="AB122" s="158">
        <v>133.0</v>
      </c>
    </row>
    <row r="123" hidden="1">
      <c r="A123" s="158" t="s">
        <v>420</v>
      </c>
      <c r="B123" s="159">
        <v>46166.0</v>
      </c>
      <c r="C123" s="160">
        <v>46143.0</v>
      </c>
      <c r="D123" s="159">
        <v>46163.0</v>
      </c>
      <c r="E123" s="166">
        <v>46163.0</v>
      </c>
      <c r="F123" s="158">
        <v>2.100191516493E12</v>
      </c>
      <c r="G123" s="158" t="s">
        <v>421</v>
      </c>
      <c r="H123" s="158">
        <v>2584.0</v>
      </c>
      <c r="I123" s="158" t="s">
        <v>422</v>
      </c>
      <c r="J123" s="158" t="s">
        <v>423</v>
      </c>
      <c r="K123" s="158">
        <v>1.602127277E10</v>
      </c>
      <c r="L123" s="158">
        <v>9.4724789373E10</v>
      </c>
      <c r="M123" s="158">
        <v>6.9613442E7</v>
      </c>
      <c r="N123" s="158" t="s">
        <v>424</v>
      </c>
      <c r="O123" s="158" t="s">
        <v>425</v>
      </c>
      <c r="P123" s="162">
        <v>12900.0</v>
      </c>
      <c r="Q123" s="158">
        <v>1.0</v>
      </c>
      <c r="R123" s="162">
        <v>12900.0</v>
      </c>
      <c r="S123" s="158">
        <v>0.0</v>
      </c>
      <c r="T123" s="162">
        <v>12900.0</v>
      </c>
      <c r="U123" s="158">
        <v>200.0</v>
      </c>
      <c r="V123" s="158">
        <v>0.0</v>
      </c>
      <c r="W123" s="158">
        <v>200.0</v>
      </c>
      <c r="X123" s="162">
        <v>11233.0</v>
      </c>
      <c r="Y123" s="158">
        <v>10.5</v>
      </c>
      <c r="Z123" s="158">
        <v>0.0</v>
      </c>
      <c r="AA123" s="162">
        <v>1334.0</v>
      </c>
      <c r="AB123" s="158">
        <v>133.0</v>
      </c>
    </row>
    <row r="124" hidden="1">
      <c r="A124" s="158" t="s">
        <v>420</v>
      </c>
      <c r="B124" s="159">
        <v>46166.0</v>
      </c>
      <c r="C124" s="160">
        <v>46143.0</v>
      </c>
      <c r="D124" s="159">
        <v>46163.0</v>
      </c>
      <c r="E124" s="159">
        <v>46163.0</v>
      </c>
      <c r="F124" s="158">
        <v>7.100192583644E12</v>
      </c>
      <c r="G124" s="158" t="s">
        <v>421</v>
      </c>
      <c r="H124" s="158">
        <v>2584.0</v>
      </c>
      <c r="I124" s="158" t="s">
        <v>422</v>
      </c>
      <c r="J124" s="158" t="s">
        <v>423</v>
      </c>
      <c r="K124" s="158">
        <v>1.6099312814E10</v>
      </c>
      <c r="L124" s="158">
        <v>9.501851033E10</v>
      </c>
      <c r="M124" s="158">
        <v>7.0897741E7</v>
      </c>
      <c r="N124" s="158" t="s">
        <v>438</v>
      </c>
      <c r="O124" s="158" t="s">
        <v>439</v>
      </c>
      <c r="P124" s="162">
        <v>9500.0</v>
      </c>
      <c r="Q124" s="158">
        <v>1.0</v>
      </c>
      <c r="R124" s="162">
        <v>9500.0</v>
      </c>
      <c r="S124" s="158">
        <v>0.0</v>
      </c>
      <c r="T124" s="162">
        <v>9500.0</v>
      </c>
      <c r="U124" s="158">
        <v>100.0</v>
      </c>
      <c r="V124" s="158">
        <v>0.0</v>
      </c>
      <c r="W124" s="158">
        <v>100.0</v>
      </c>
      <c r="X124" s="162">
        <v>8314.0</v>
      </c>
      <c r="Y124" s="158">
        <v>10.5</v>
      </c>
      <c r="Z124" s="158">
        <v>0.0</v>
      </c>
      <c r="AA124" s="158">
        <v>987.0</v>
      </c>
      <c r="AB124" s="158">
        <v>99.0</v>
      </c>
    </row>
    <row r="125" hidden="1">
      <c r="A125" s="158" t="s">
        <v>420</v>
      </c>
      <c r="B125" s="159">
        <v>46166.0</v>
      </c>
      <c r="C125" s="160">
        <v>46143.0</v>
      </c>
      <c r="D125" s="159">
        <v>46163.0</v>
      </c>
      <c r="E125" s="166">
        <v>46163.0</v>
      </c>
      <c r="F125" s="158">
        <v>2.7100191644813E13</v>
      </c>
      <c r="G125" s="158" t="s">
        <v>421</v>
      </c>
      <c r="H125" s="158">
        <v>2584.0</v>
      </c>
      <c r="I125" s="158" t="s">
        <v>422</v>
      </c>
      <c r="J125" s="158" t="s">
        <v>423</v>
      </c>
      <c r="K125" s="158">
        <v>1.602127277E10</v>
      </c>
      <c r="L125" s="158">
        <v>9.4724789373E10</v>
      </c>
      <c r="M125" s="158">
        <v>6.9613442E7</v>
      </c>
      <c r="N125" s="158" t="s">
        <v>424</v>
      </c>
      <c r="O125" s="158" t="s">
        <v>425</v>
      </c>
      <c r="P125" s="162">
        <v>12900.0</v>
      </c>
      <c r="Q125" s="158">
        <v>1.0</v>
      </c>
      <c r="R125" s="162">
        <v>12900.0</v>
      </c>
      <c r="S125" s="158">
        <v>0.0</v>
      </c>
      <c r="T125" s="162">
        <v>12900.0</v>
      </c>
      <c r="U125" s="158">
        <v>200.0</v>
      </c>
      <c r="V125" s="158">
        <v>0.0</v>
      </c>
      <c r="W125" s="158">
        <v>200.0</v>
      </c>
      <c r="X125" s="162">
        <v>11233.0</v>
      </c>
      <c r="Y125" s="158">
        <v>10.5</v>
      </c>
      <c r="Z125" s="158">
        <v>0.0</v>
      </c>
      <c r="AA125" s="162">
        <v>1334.0</v>
      </c>
      <c r="AB125" s="158">
        <v>133.0</v>
      </c>
    </row>
    <row r="126" hidden="1">
      <c r="A126" s="158" t="s">
        <v>420</v>
      </c>
      <c r="B126" s="159">
        <v>46166.0</v>
      </c>
      <c r="C126" s="160">
        <v>46143.0</v>
      </c>
      <c r="D126" s="159">
        <v>46164.0</v>
      </c>
      <c r="E126" s="166">
        <v>46164.0</v>
      </c>
      <c r="F126" s="158">
        <v>2.510019278707E13</v>
      </c>
      <c r="G126" s="158" t="s">
        <v>421</v>
      </c>
      <c r="H126" s="158">
        <v>2584.0</v>
      </c>
      <c r="I126" s="158" t="s">
        <v>422</v>
      </c>
      <c r="J126" s="158" t="s">
        <v>423</v>
      </c>
      <c r="K126" s="158">
        <v>1.602127277E10</v>
      </c>
      <c r="L126" s="158">
        <v>9.4724789373E10</v>
      </c>
      <c r="M126" s="158">
        <v>6.9613442E7</v>
      </c>
      <c r="N126" s="158" t="s">
        <v>424</v>
      </c>
      <c r="O126" s="158" t="s">
        <v>425</v>
      </c>
      <c r="P126" s="162">
        <v>12900.0</v>
      </c>
      <c r="Q126" s="158">
        <v>1.0</v>
      </c>
      <c r="R126" s="162">
        <v>12900.0</v>
      </c>
      <c r="S126" s="158">
        <v>0.0</v>
      </c>
      <c r="T126" s="162">
        <v>12900.0</v>
      </c>
      <c r="U126" s="158">
        <v>200.0</v>
      </c>
      <c r="V126" s="158">
        <v>0.0</v>
      </c>
      <c r="W126" s="158">
        <v>200.0</v>
      </c>
      <c r="X126" s="162">
        <v>11233.0</v>
      </c>
      <c r="Y126" s="158">
        <v>10.5</v>
      </c>
      <c r="Z126" s="158">
        <v>0.0</v>
      </c>
      <c r="AA126" s="162">
        <v>1334.0</v>
      </c>
      <c r="AB126" s="158">
        <v>133.0</v>
      </c>
    </row>
    <row r="127" hidden="1">
      <c r="A127" s="158" t="s">
        <v>420</v>
      </c>
      <c r="B127" s="159">
        <v>46166.0</v>
      </c>
      <c r="C127" s="160">
        <v>46143.0</v>
      </c>
      <c r="D127" s="159">
        <v>46164.0</v>
      </c>
      <c r="E127" s="166">
        <v>46164.0</v>
      </c>
      <c r="F127" s="158">
        <v>1.6100192952529E13</v>
      </c>
      <c r="G127" s="158" t="s">
        <v>421</v>
      </c>
      <c r="H127" s="158">
        <v>2584.0</v>
      </c>
      <c r="I127" s="158" t="s">
        <v>422</v>
      </c>
      <c r="J127" s="158" t="s">
        <v>423</v>
      </c>
      <c r="K127" s="158">
        <v>1.602127277E10</v>
      </c>
      <c r="L127" s="158">
        <v>9.4724789373E10</v>
      </c>
      <c r="M127" s="158">
        <v>6.9613442E7</v>
      </c>
      <c r="N127" s="158" t="s">
        <v>424</v>
      </c>
      <c r="O127" s="158" t="s">
        <v>425</v>
      </c>
      <c r="P127" s="162">
        <v>12900.0</v>
      </c>
      <c r="Q127" s="158">
        <v>1.0</v>
      </c>
      <c r="R127" s="162">
        <v>12900.0</v>
      </c>
      <c r="S127" s="158">
        <v>0.0</v>
      </c>
      <c r="T127" s="162">
        <v>12900.0</v>
      </c>
      <c r="U127" s="158">
        <v>200.0</v>
      </c>
      <c r="V127" s="158">
        <v>0.0</v>
      </c>
      <c r="W127" s="158">
        <v>200.0</v>
      </c>
      <c r="X127" s="162">
        <v>11233.0</v>
      </c>
      <c r="Y127" s="158">
        <v>10.5</v>
      </c>
      <c r="Z127" s="158">
        <v>0.0</v>
      </c>
      <c r="AA127" s="162">
        <v>1334.0</v>
      </c>
      <c r="AB127" s="158">
        <v>133.0</v>
      </c>
    </row>
    <row r="128" hidden="1">
      <c r="A128" s="158" t="s">
        <v>420</v>
      </c>
      <c r="B128" s="159">
        <v>46166.0</v>
      </c>
      <c r="C128" s="160">
        <v>46143.0</v>
      </c>
      <c r="D128" s="159">
        <v>46164.0</v>
      </c>
      <c r="E128" s="166">
        <v>46164.0</v>
      </c>
      <c r="F128" s="158">
        <v>2.8100192121583E13</v>
      </c>
      <c r="G128" s="158" t="s">
        <v>421</v>
      </c>
      <c r="H128" s="158">
        <v>2584.0</v>
      </c>
      <c r="I128" s="158" t="s">
        <v>422</v>
      </c>
      <c r="J128" s="158" t="s">
        <v>423</v>
      </c>
      <c r="K128" s="158">
        <v>1.602127277E10</v>
      </c>
      <c r="L128" s="158">
        <v>9.4724789373E10</v>
      </c>
      <c r="M128" s="158">
        <v>6.9613442E7</v>
      </c>
      <c r="N128" s="158" t="s">
        <v>424</v>
      </c>
      <c r="O128" s="158" t="s">
        <v>425</v>
      </c>
      <c r="P128" s="162">
        <v>12900.0</v>
      </c>
      <c r="Q128" s="158">
        <v>1.0</v>
      </c>
      <c r="R128" s="162">
        <v>12900.0</v>
      </c>
      <c r="S128" s="158">
        <v>0.0</v>
      </c>
      <c r="T128" s="162">
        <v>12900.0</v>
      </c>
      <c r="U128" s="158">
        <v>200.0</v>
      </c>
      <c r="V128" s="158">
        <v>0.0</v>
      </c>
      <c r="W128" s="158">
        <v>200.0</v>
      </c>
      <c r="X128" s="162">
        <v>11233.0</v>
      </c>
      <c r="Y128" s="158">
        <v>10.5</v>
      </c>
      <c r="Z128" s="158">
        <v>0.0</v>
      </c>
      <c r="AA128" s="162">
        <v>1334.0</v>
      </c>
      <c r="AB128" s="158">
        <v>133.0</v>
      </c>
    </row>
    <row r="129" hidden="1">
      <c r="A129" s="158" t="s">
        <v>420</v>
      </c>
      <c r="B129" s="159">
        <v>46166.0</v>
      </c>
      <c r="C129" s="160">
        <v>46143.0</v>
      </c>
      <c r="D129" s="159">
        <v>46165.0</v>
      </c>
      <c r="E129" s="166">
        <v>46165.0</v>
      </c>
      <c r="F129" s="158">
        <v>2.8100192187601E13</v>
      </c>
      <c r="G129" s="158" t="s">
        <v>421</v>
      </c>
      <c r="H129" s="158">
        <v>2584.0</v>
      </c>
      <c r="I129" s="158" t="s">
        <v>422</v>
      </c>
      <c r="J129" s="158" t="s">
        <v>423</v>
      </c>
      <c r="K129" s="158">
        <v>1.602127277E10</v>
      </c>
      <c r="L129" s="158">
        <v>9.4724789373E10</v>
      </c>
      <c r="M129" s="158">
        <v>6.9613442E7</v>
      </c>
      <c r="N129" s="158" t="s">
        <v>424</v>
      </c>
      <c r="O129" s="158" t="s">
        <v>425</v>
      </c>
      <c r="P129" s="162">
        <v>12900.0</v>
      </c>
      <c r="Q129" s="158">
        <v>2.0</v>
      </c>
      <c r="R129" s="162">
        <v>25800.0</v>
      </c>
      <c r="S129" s="158">
        <v>0.0</v>
      </c>
      <c r="T129" s="162">
        <v>25800.0</v>
      </c>
      <c r="U129" s="158">
        <v>200.0</v>
      </c>
      <c r="V129" s="158">
        <v>0.0</v>
      </c>
      <c r="W129" s="158">
        <v>200.0</v>
      </c>
      <c r="X129" s="162">
        <v>22643.0</v>
      </c>
      <c r="Y129" s="158">
        <v>10.5</v>
      </c>
      <c r="Z129" s="158">
        <v>0.0</v>
      </c>
      <c r="AA129" s="162">
        <v>2688.0</v>
      </c>
      <c r="AB129" s="158">
        <v>269.0</v>
      </c>
    </row>
    <row r="130" hidden="1">
      <c r="A130" s="158" t="s">
        <v>420</v>
      </c>
      <c r="B130" s="159">
        <v>46166.0</v>
      </c>
      <c r="C130" s="160">
        <v>46143.0</v>
      </c>
      <c r="D130" s="159">
        <v>46165.0</v>
      </c>
      <c r="E130" s="166">
        <v>46165.0</v>
      </c>
      <c r="F130" s="158">
        <v>1.8100192290307E13</v>
      </c>
      <c r="G130" s="158" t="s">
        <v>421</v>
      </c>
      <c r="H130" s="158">
        <v>2584.0</v>
      </c>
      <c r="I130" s="158" t="s">
        <v>422</v>
      </c>
      <c r="J130" s="158" t="s">
        <v>423</v>
      </c>
      <c r="K130" s="158">
        <v>1.602127277E10</v>
      </c>
      <c r="L130" s="158">
        <v>9.4724789373E10</v>
      </c>
      <c r="M130" s="158">
        <v>6.9613442E7</v>
      </c>
      <c r="N130" s="158" t="s">
        <v>424</v>
      </c>
      <c r="O130" s="158" t="s">
        <v>425</v>
      </c>
      <c r="P130" s="162">
        <v>12900.0</v>
      </c>
      <c r="Q130" s="158">
        <v>1.0</v>
      </c>
      <c r="R130" s="162">
        <v>12900.0</v>
      </c>
      <c r="S130" s="158">
        <v>0.0</v>
      </c>
      <c r="T130" s="162">
        <v>12900.0</v>
      </c>
      <c r="U130" s="158">
        <v>200.0</v>
      </c>
      <c r="V130" s="158">
        <v>0.0</v>
      </c>
      <c r="W130" s="158">
        <v>200.0</v>
      </c>
      <c r="X130" s="162">
        <v>11233.0</v>
      </c>
      <c r="Y130" s="158">
        <v>10.5</v>
      </c>
      <c r="Z130" s="158">
        <v>0.0</v>
      </c>
      <c r="AA130" s="162">
        <v>1334.0</v>
      </c>
      <c r="AB130" s="158">
        <v>133.0</v>
      </c>
    </row>
    <row r="131" hidden="1">
      <c r="A131" s="158" t="s">
        <v>420</v>
      </c>
      <c r="B131" s="159">
        <v>46166.0</v>
      </c>
      <c r="C131" s="160">
        <v>46143.0</v>
      </c>
      <c r="D131" s="159">
        <v>46165.0</v>
      </c>
      <c r="E131" s="166">
        <v>46165.0</v>
      </c>
      <c r="F131" s="158">
        <v>1.4100192879372E13</v>
      </c>
      <c r="G131" s="158" t="s">
        <v>421</v>
      </c>
      <c r="H131" s="158">
        <v>2584.0</v>
      </c>
      <c r="I131" s="158" t="s">
        <v>422</v>
      </c>
      <c r="J131" s="158" t="s">
        <v>423</v>
      </c>
      <c r="K131" s="158">
        <v>1.602127277E10</v>
      </c>
      <c r="L131" s="158">
        <v>9.4724789373E10</v>
      </c>
      <c r="M131" s="158">
        <v>6.9613442E7</v>
      </c>
      <c r="N131" s="158" t="s">
        <v>424</v>
      </c>
      <c r="O131" s="158" t="s">
        <v>425</v>
      </c>
      <c r="P131" s="162">
        <v>12900.0</v>
      </c>
      <c r="Q131" s="158">
        <v>1.0</v>
      </c>
      <c r="R131" s="162">
        <v>12900.0</v>
      </c>
      <c r="S131" s="158">
        <v>0.0</v>
      </c>
      <c r="T131" s="162">
        <v>12900.0</v>
      </c>
      <c r="U131" s="158">
        <v>200.0</v>
      </c>
      <c r="V131" s="158">
        <v>0.0</v>
      </c>
      <c r="W131" s="158">
        <v>200.0</v>
      </c>
      <c r="X131" s="162">
        <v>11233.0</v>
      </c>
      <c r="Y131" s="158">
        <v>10.5</v>
      </c>
      <c r="Z131" s="158">
        <v>0.0</v>
      </c>
      <c r="AA131" s="162">
        <v>1334.0</v>
      </c>
      <c r="AB131" s="158">
        <v>133.0</v>
      </c>
    </row>
    <row r="132" hidden="1">
      <c r="A132" s="158" t="s">
        <v>420</v>
      </c>
      <c r="B132" s="159">
        <v>46166.0</v>
      </c>
      <c r="C132" s="160">
        <v>46143.0</v>
      </c>
      <c r="D132" s="159">
        <v>46165.0</v>
      </c>
      <c r="E132" s="166">
        <v>46165.0</v>
      </c>
      <c r="F132" s="158">
        <v>1.410019289761E13</v>
      </c>
      <c r="G132" s="158" t="s">
        <v>421</v>
      </c>
      <c r="H132" s="158">
        <v>2584.0</v>
      </c>
      <c r="I132" s="158" t="s">
        <v>422</v>
      </c>
      <c r="J132" s="158" t="s">
        <v>423</v>
      </c>
      <c r="K132" s="158">
        <v>1.602127277E10</v>
      </c>
      <c r="L132" s="158">
        <v>9.4724789373E10</v>
      </c>
      <c r="M132" s="158">
        <v>6.9613442E7</v>
      </c>
      <c r="N132" s="158" t="s">
        <v>424</v>
      </c>
      <c r="O132" s="158" t="s">
        <v>425</v>
      </c>
      <c r="P132" s="162">
        <v>12900.0</v>
      </c>
      <c r="Q132" s="158">
        <v>1.0</v>
      </c>
      <c r="R132" s="162">
        <v>12900.0</v>
      </c>
      <c r="S132" s="158">
        <v>0.0</v>
      </c>
      <c r="T132" s="162">
        <v>12900.0</v>
      </c>
      <c r="U132" s="158">
        <v>200.0</v>
      </c>
      <c r="V132" s="158">
        <v>0.0</v>
      </c>
      <c r="W132" s="158">
        <v>200.0</v>
      </c>
      <c r="X132" s="162">
        <v>11233.0</v>
      </c>
      <c r="Y132" s="158">
        <v>10.5</v>
      </c>
      <c r="Z132" s="158">
        <v>0.0</v>
      </c>
      <c r="AA132" s="162">
        <v>1334.0</v>
      </c>
      <c r="AB132" s="158">
        <v>133.0</v>
      </c>
    </row>
    <row r="133" hidden="1">
      <c r="A133" s="158" t="s">
        <v>420</v>
      </c>
      <c r="B133" s="159">
        <v>46166.0</v>
      </c>
      <c r="C133" s="160">
        <v>46143.0</v>
      </c>
      <c r="D133" s="159">
        <v>46166.0</v>
      </c>
      <c r="E133" s="159">
        <v>46166.0</v>
      </c>
      <c r="F133" s="158">
        <v>1.8100192405523E13</v>
      </c>
      <c r="G133" s="158" t="s">
        <v>421</v>
      </c>
      <c r="H133" s="158">
        <v>1876.0</v>
      </c>
      <c r="I133" s="158" t="s">
        <v>430</v>
      </c>
      <c r="J133" s="158" t="s">
        <v>423</v>
      </c>
      <c r="K133" s="158">
        <v>1.6197049538E10</v>
      </c>
      <c r="L133" s="158">
        <v>9.5403949215E10</v>
      </c>
      <c r="M133" s="158">
        <v>7.3706119E7</v>
      </c>
      <c r="N133" s="158" t="s">
        <v>446</v>
      </c>
      <c r="O133" s="158" t="s">
        <v>447</v>
      </c>
      <c r="P133" s="162">
        <v>10900.0</v>
      </c>
      <c r="Q133" s="158">
        <v>1.0</v>
      </c>
      <c r="R133" s="162">
        <v>10900.0</v>
      </c>
      <c r="S133" s="158">
        <v>0.0</v>
      </c>
      <c r="T133" s="162">
        <v>10900.0</v>
      </c>
      <c r="U133" s="158">
        <v>500.0</v>
      </c>
      <c r="V133" s="158">
        <v>0.0</v>
      </c>
      <c r="W133" s="158">
        <v>500.0</v>
      </c>
      <c r="X133" s="162">
        <v>9199.0</v>
      </c>
      <c r="Y133" s="158">
        <v>10.5</v>
      </c>
      <c r="Z133" s="158">
        <v>0.0</v>
      </c>
      <c r="AA133" s="162">
        <v>1092.0</v>
      </c>
      <c r="AB133" s="158">
        <v>109.0</v>
      </c>
    </row>
    <row r="134" hidden="1">
      <c r="A134" s="158" t="s">
        <v>420</v>
      </c>
      <c r="B134" s="159">
        <v>46173.0</v>
      </c>
      <c r="C134" s="160">
        <v>46143.0</v>
      </c>
      <c r="D134" s="159">
        <v>46168.0</v>
      </c>
      <c r="E134" s="165">
        <v>46168.0</v>
      </c>
      <c r="F134" s="158">
        <v>1.0100193005309E13</v>
      </c>
      <c r="G134" s="158" t="s">
        <v>421</v>
      </c>
      <c r="H134" s="158">
        <v>1876.0</v>
      </c>
      <c r="I134" s="158" t="s">
        <v>430</v>
      </c>
      <c r="J134" s="158" t="s">
        <v>423</v>
      </c>
      <c r="K134" s="158">
        <v>1.6175031597E10</v>
      </c>
      <c r="L134" s="158">
        <v>9.5318374575E10</v>
      </c>
      <c r="M134" s="158">
        <v>7.2864536E7</v>
      </c>
      <c r="N134" s="158" t="s">
        <v>443</v>
      </c>
      <c r="O134" s="158" t="s">
        <v>445</v>
      </c>
      <c r="P134" s="162">
        <v>9600.0</v>
      </c>
      <c r="Q134" s="158">
        <v>1.0</v>
      </c>
      <c r="R134" s="162">
        <v>9600.0</v>
      </c>
      <c r="S134" s="158">
        <v>0.0</v>
      </c>
      <c r="T134" s="162">
        <v>9600.0</v>
      </c>
      <c r="U134" s="158">
        <v>0.0</v>
      </c>
      <c r="V134" s="158">
        <v>0.0</v>
      </c>
      <c r="W134" s="158">
        <v>0.0</v>
      </c>
      <c r="X134" s="162">
        <v>8491.0</v>
      </c>
      <c r="Y134" s="158">
        <v>10.5</v>
      </c>
      <c r="Z134" s="158">
        <v>0.0</v>
      </c>
      <c r="AA134" s="162">
        <v>1008.0</v>
      </c>
      <c r="AB134" s="158">
        <v>101.0</v>
      </c>
    </row>
    <row r="135" hidden="1">
      <c r="A135" s="158" t="s">
        <v>420</v>
      </c>
      <c r="B135" s="159">
        <v>46173.0</v>
      </c>
      <c r="C135" s="160">
        <v>46143.0</v>
      </c>
      <c r="D135" s="159">
        <v>46169.0</v>
      </c>
      <c r="E135" s="166">
        <v>46169.0</v>
      </c>
      <c r="F135" s="158">
        <v>2.8100193054681E13</v>
      </c>
      <c r="G135" s="158" t="s">
        <v>421</v>
      </c>
      <c r="H135" s="158">
        <v>2584.0</v>
      </c>
      <c r="I135" s="158" t="s">
        <v>422</v>
      </c>
      <c r="J135" s="158" t="s">
        <v>423</v>
      </c>
      <c r="K135" s="158">
        <v>1.602127277E10</v>
      </c>
      <c r="L135" s="158">
        <v>9.4724789373E10</v>
      </c>
      <c r="M135" s="158">
        <v>6.9613442E7</v>
      </c>
      <c r="N135" s="158" t="s">
        <v>424</v>
      </c>
      <c r="O135" s="158" t="s">
        <v>425</v>
      </c>
      <c r="P135" s="162">
        <v>12900.0</v>
      </c>
      <c r="Q135" s="158">
        <v>2.0</v>
      </c>
      <c r="R135" s="162">
        <v>25800.0</v>
      </c>
      <c r="S135" s="158">
        <v>0.0</v>
      </c>
      <c r="T135" s="162">
        <v>25800.0</v>
      </c>
      <c r="U135" s="158">
        <v>200.0</v>
      </c>
      <c r="V135" s="158">
        <v>0.0</v>
      </c>
      <c r="W135" s="158">
        <v>200.0</v>
      </c>
      <c r="X135" s="162">
        <v>22643.0</v>
      </c>
      <c r="Y135" s="158">
        <v>10.5</v>
      </c>
      <c r="Z135" s="158">
        <v>0.0</v>
      </c>
      <c r="AA135" s="162">
        <v>2688.0</v>
      </c>
      <c r="AB135" s="158">
        <v>269.0</v>
      </c>
    </row>
    <row r="136" hidden="1">
      <c r="A136" s="158" t="s">
        <v>420</v>
      </c>
      <c r="B136" s="159">
        <v>46173.0</v>
      </c>
      <c r="C136" s="160">
        <v>46143.0</v>
      </c>
      <c r="D136" s="159">
        <v>46169.0</v>
      </c>
      <c r="E136" s="159">
        <v>46169.0</v>
      </c>
      <c r="F136" s="158">
        <v>2.2100192644569E13</v>
      </c>
      <c r="G136" s="158" t="s">
        <v>421</v>
      </c>
      <c r="H136" s="158">
        <v>2584.0</v>
      </c>
      <c r="I136" s="158" t="s">
        <v>422</v>
      </c>
      <c r="J136" s="158" t="s">
        <v>423</v>
      </c>
      <c r="K136" s="158">
        <v>1.6099312814E10</v>
      </c>
      <c r="L136" s="158">
        <v>9.501851033E10</v>
      </c>
      <c r="M136" s="158">
        <v>7.0897741E7</v>
      </c>
      <c r="N136" s="158" t="s">
        <v>438</v>
      </c>
      <c r="O136" s="158" t="s">
        <v>439</v>
      </c>
      <c r="P136" s="162">
        <v>9500.0</v>
      </c>
      <c r="Q136" s="158">
        <v>1.0</v>
      </c>
      <c r="R136" s="162">
        <v>9500.0</v>
      </c>
      <c r="S136" s="158">
        <v>0.0</v>
      </c>
      <c r="T136" s="162">
        <v>9500.0</v>
      </c>
      <c r="U136" s="158">
        <v>100.0</v>
      </c>
      <c r="V136" s="158">
        <v>0.0</v>
      </c>
      <c r="W136" s="158">
        <v>100.0</v>
      </c>
      <c r="X136" s="162">
        <v>8314.0</v>
      </c>
      <c r="Y136" s="158">
        <v>10.5</v>
      </c>
      <c r="Z136" s="158">
        <v>0.0</v>
      </c>
      <c r="AA136" s="158">
        <v>987.0</v>
      </c>
      <c r="AB136" s="158">
        <v>99.0</v>
      </c>
    </row>
    <row r="137" hidden="1">
      <c r="A137" s="158" t="s">
        <v>420</v>
      </c>
      <c r="B137" s="159">
        <v>46173.0</v>
      </c>
      <c r="C137" s="160">
        <v>46143.0</v>
      </c>
      <c r="D137" s="159">
        <v>46169.0</v>
      </c>
      <c r="E137" s="166">
        <v>46169.0</v>
      </c>
      <c r="F137" s="158">
        <v>2.3100193531009E13</v>
      </c>
      <c r="G137" s="158" t="s">
        <v>421</v>
      </c>
      <c r="H137" s="158">
        <v>2584.0</v>
      </c>
      <c r="I137" s="158" t="s">
        <v>422</v>
      </c>
      <c r="J137" s="158" t="s">
        <v>423</v>
      </c>
      <c r="K137" s="158">
        <v>1.602127277E10</v>
      </c>
      <c r="L137" s="158">
        <v>9.4724789373E10</v>
      </c>
      <c r="M137" s="158">
        <v>6.9613442E7</v>
      </c>
      <c r="N137" s="158" t="s">
        <v>424</v>
      </c>
      <c r="O137" s="158" t="s">
        <v>425</v>
      </c>
      <c r="P137" s="162">
        <v>12900.0</v>
      </c>
      <c r="Q137" s="158">
        <v>1.0</v>
      </c>
      <c r="R137" s="162">
        <v>12900.0</v>
      </c>
      <c r="S137" s="158">
        <v>0.0</v>
      </c>
      <c r="T137" s="162">
        <v>12900.0</v>
      </c>
      <c r="U137" s="158">
        <v>200.0</v>
      </c>
      <c r="V137" s="158">
        <v>0.0</v>
      </c>
      <c r="W137" s="158">
        <v>200.0</v>
      </c>
      <c r="X137" s="162">
        <v>11233.0</v>
      </c>
      <c r="Y137" s="158">
        <v>10.5</v>
      </c>
      <c r="Z137" s="158">
        <v>0.0</v>
      </c>
      <c r="AA137" s="162">
        <v>1334.0</v>
      </c>
      <c r="AB137" s="158">
        <v>133.0</v>
      </c>
    </row>
    <row r="138" hidden="1">
      <c r="A138" s="158" t="s">
        <v>420</v>
      </c>
      <c r="B138" s="159">
        <v>46173.0</v>
      </c>
      <c r="C138" s="160">
        <v>46143.0</v>
      </c>
      <c r="D138" s="159">
        <v>46171.0</v>
      </c>
      <c r="E138" s="166">
        <v>46171.0</v>
      </c>
      <c r="F138" s="158">
        <v>1.100194146846E12</v>
      </c>
      <c r="G138" s="158" t="s">
        <v>421</v>
      </c>
      <c r="H138" s="158">
        <v>2584.0</v>
      </c>
      <c r="I138" s="158" t="s">
        <v>422</v>
      </c>
      <c r="J138" s="158" t="s">
        <v>423</v>
      </c>
      <c r="K138" s="158">
        <v>1.602127277E10</v>
      </c>
      <c r="L138" s="158">
        <v>9.4724789373E10</v>
      </c>
      <c r="M138" s="158">
        <v>6.9613442E7</v>
      </c>
      <c r="N138" s="158" t="s">
        <v>424</v>
      </c>
      <c r="O138" s="158" t="s">
        <v>425</v>
      </c>
      <c r="P138" s="162">
        <v>12900.0</v>
      </c>
      <c r="Q138" s="158">
        <v>1.0</v>
      </c>
      <c r="R138" s="162">
        <v>12900.0</v>
      </c>
      <c r="S138" s="158">
        <v>0.0</v>
      </c>
      <c r="T138" s="162">
        <v>12900.0</v>
      </c>
      <c r="U138" s="158">
        <v>200.0</v>
      </c>
      <c r="V138" s="158">
        <v>0.0</v>
      </c>
      <c r="W138" s="158">
        <v>200.0</v>
      </c>
      <c r="X138" s="162">
        <v>11233.0</v>
      </c>
      <c r="Y138" s="158">
        <v>10.5</v>
      </c>
      <c r="Z138" s="158">
        <v>0.0</v>
      </c>
      <c r="AA138" s="162">
        <v>1334.0</v>
      </c>
      <c r="AB138" s="158">
        <v>133.0</v>
      </c>
    </row>
    <row r="139" hidden="1">
      <c r="A139" s="158" t="s">
        <v>420</v>
      </c>
      <c r="B139" s="159">
        <v>46173.0</v>
      </c>
      <c r="C139" s="160">
        <v>46143.0</v>
      </c>
      <c r="D139" s="159">
        <v>46173.0</v>
      </c>
      <c r="E139" s="166">
        <v>46173.0</v>
      </c>
      <c r="F139" s="158">
        <v>3.100194809211E12</v>
      </c>
      <c r="G139" s="158" t="s">
        <v>421</v>
      </c>
      <c r="H139" s="158">
        <v>2584.0</v>
      </c>
      <c r="I139" s="158" t="s">
        <v>422</v>
      </c>
      <c r="J139" s="158" t="s">
        <v>423</v>
      </c>
      <c r="K139" s="158">
        <v>1.602127277E10</v>
      </c>
      <c r="L139" s="158">
        <v>9.4724789373E10</v>
      </c>
      <c r="M139" s="158">
        <v>6.9613442E7</v>
      </c>
      <c r="N139" s="158" t="s">
        <v>424</v>
      </c>
      <c r="O139" s="158" t="s">
        <v>425</v>
      </c>
      <c r="P139" s="162">
        <v>12900.0</v>
      </c>
      <c r="Q139" s="158">
        <v>1.0</v>
      </c>
      <c r="R139" s="162">
        <v>12900.0</v>
      </c>
      <c r="S139" s="158">
        <v>0.0</v>
      </c>
      <c r="T139" s="162">
        <v>12900.0</v>
      </c>
      <c r="U139" s="158">
        <v>200.0</v>
      </c>
      <c r="V139" s="158">
        <v>0.0</v>
      </c>
      <c r="W139" s="158">
        <v>200.0</v>
      </c>
      <c r="X139" s="162">
        <v>11233.0</v>
      </c>
      <c r="Y139" s="158">
        <v>10.5</v>
      </c>
      <c r="Z139" s="158">
        <v>0.0</v>
      </c>
      <c r="AA139" s="162">
        <v>1334.0</v>
      </c>
      <c r="AB139" s="158">
        <v>133.0</v>
      </c>
    </row>
    <row r="140" hidden="1">
      <c r="A140" s="158" t="s">
        <v>420</v>
      </c>
      <c r="B140" s="159">
        <v>46173.0</v>
      </c>
      <c r="C140" s="160">
        <v>46143.0</v>
      </c>
      <c r="D140" s="159">
        <v>46173.0</v>
      </c>
      <c r="E140" s="166">
        <v>46173.0</v>
      </c>
      <c r="F140" s="158">
        <v>2.7100193765002E13</v>
      </c>
      <c r="G140" s="158" t="s">
        <v>421</v>
      </c>
      <c r="H140" s="158">
        <v>2584.0</v>
      </c>
      <c r="I140" s="158" t="s">
        <v>422</v>
      </c>
      <c r="J140" s="158" t="s">
        <v>423</v>
      </c>
      <c r="K140" s="158">
        <v>1.602127277E10</v>
      </c>
      <c r="L140" s="158">
        <v>9.4724789373E10</v>
      </c>
      <c r="M140" s="158">
        <v>6.9613442E7</v>
      </c>
      <c r="N140" s="158" t="s">
        <v>424</v>
      </c>
      <c r="O140" s="158" t="s">
        <v>425</v>
      </c>
      <c r="P140" s="162">
        <v>12900.0</v>
      </c>
      <c r="Q140" s="158">
        <v>1.0</v>
      </c>
      <c r="R140" s="162">
        <v>12900.0</v>
      </c>
      <c r="S140" s="158">
        <v>0.0</v>
      </c>
      <c r="T140" s="162">
        <v>12900.0</v>
      </c>
      <c r="U140" s="158">
        <v>200.0</v>
      </c>
      <c r="V140" s="158">
        <v>0.0</v>
      </c>
      <c r="W140" s="158">
        <v>200.0</v>
      </c>
      <c r="X140" s="162">
        <v>11233.0</v>
      </c>
      <c r="Y140" s="158">
        <v>10.5</v>
      </c>
      <c r="Z140" s="158">
        <v>0.0</v>
      </c>
      <c r="AA140" s="162">
        <v>1334.0</v>
      </c>
      <c r="AB140" s="158">
        <v>133.0</v>
      </c>
    </row>
    <row r="141" hidden="1">
      <c r="A141" s="158" t="s">
        <v>420</v>
      </c>
      <c r="B141" s="159">
        <v>46180.0</v>
      </c>
      <c r="C141" s="160">
        <v>46174.0</v>
      </c>
      <c r="D141" s="159">
        <v>46175.0</v>
      </c>
      <c r="E141" s="166">
        <v>46175.0</v>
      </c>
      <c r="F141" s="158">
        <v>1.1100194603914E13</v>
      </c>
      <c r="G141" s="158" t="s">
        <v>421</v>
      </c>
      <c r="H141" s="158">
        <v>2584.0</v>
      </c>
      <c r="I141" s="158" t="s">
        <v>422</v>
      </c>
      <c r="J141" s="158" t="s">
        <v>423</v>
      </c>
      <c r="K141" s="158">
        <v>1.602127277E10</v>
      </c>
      <c r="L141" s="158">
        <v>9.4724789373E10</v>
      </c>
      <c r="M141" s="158">
        <v>6.9613442E7</v>
      </c>
      <c r="N141" s="158" t="s">
        <v>424</v>
      </c>
      <c r="O141" s="158" t="s">
        <v>425</v>
      </c>
      <c r="P141" s="162">
        <v>12900.0</v>
      </c>
      <c r="Q141" s="158">
        <v>1.0</v>
      </c>
      <c r="R141" s="162">
        <v>12900.0</v>
      </c>
      <c r="S141" s="158">
        <v>0.0</v>
      </c>
      <c r="T141" s="162">
        <v>12900.0</v>
      </c>
      <c r="U141" s="158">
        <v>200.0</v>
      </c>
      <c r="V141" s="158">
        <v>0.0</v>
      </c>
      <c r="W141" s="158">
        <v>200.0</v>
      </c>
      <c r="X141" s="162">
        <v>11233.0</v>
      </c>
      <c r="Y141" s="158">
        <v>10.5</v>
      </c>
      <c r="Z141" s="158">
        <v>0.0</v>
      </c>
      <c r="AA141" s="162">
        <v>1334.0</v>
      </c>
      <c r="AB141" s="158">
        <v>133.0</v>
      </c>
    </row>
    <row r="142" hidden="1">
      <c r="A142" s="158" t="s">
        <v>420</v>
      </c>
      <c r="B142" s="159">
        <v>46180.0</v>
      </c>
      <c r="C142" s="160">
        <v>46174.0</v>
      </c>
      <c r="D142" s="159">
        <v>46175.0</v>
      </c>
      <c r="E142" s="167">
        <v>46175.0</v>
      </c>
      <c r="F142" s="158">
        <v>1.4100195089154E13</v>
      </c>
      <c r="G142" s="158" t="s">
        <v>421</v>
      </c>
      <c r="H142" s="158">
        <v>2584.0</v>
      </c>
      <c r="I142" s="158" t="s">
        <v>422</v>
      </c>
      <c r="J142" s="158" t="s">
        <v>423</v>
      </c>
      <c r="K142" s="158">
        <v>1.6140005242E10</v>
      </c>
      <c r="L142" s="158">
        <v>9.5179673142E10</v>
      </c>
      <c r="M142" s="158">
        <v>7.176054E7</v>
      </c>
      <c r="N142" s="158" t="s">
        <v>424</v>
      </c>
      <c r="O142" s="158" t="s">
        <v>425</v>
      </c>
      <c r="P142" s="162">
        <v>11430.0</v>
      </c>
      <c r="Q142" s="158">
        <v>1.0</v>
      </c>
      <c r="R142" s="162">
        <v>11430.0</v>
      </c>
      <c r="S142" s="158">
        <v>0.0</v>
      </c>
      <c r="T142" s="162">
        <v>11430.0</v>
      </c>
      <c r="U142" s="158">
        <v>0.0</v>
      </c>
      <c r="V142" s="158">
        <v>0.0</v>
      </c>
      <c r="W142" s="158">
        <v>0.0</v>
      </c>
      <c r="X142" s="162">
        <v>10110.0</v>
      </c>
      <c r="Y142" s="158">
        <v>10.5</v>
      </c>
      <c r="Z142" s="158">
        <v>0.0</v>
      </c>
      <c r="AA142" s="162">
        <v>1200.0</v>
      </c>
      <c r="AB142" s="158">
        <v>120.0</v>
      </c>
    </row>
    <row r="143" hidden="1">
      <c r="A143" s="158" t="s">
        <v>420</v>
      </c>
      <c r="B143" s="159">
        <v>46180.0</v>
      </c>
      <c r="C143" s="160">
        <v>46174.0</v>
      </c>
      <c r="D143" s="159">
        <v>46176.0</v>
      </c>
      <c r="E143" s="159">
        <v>46176.0</v>
      </c>
      <c r="F143" s="158">
        <v>2.9100195004387E13</v>
      </c>
      <c r="G143" s="158" t="s">
        <v>421</v>
      </c>
      <c r="H143" s="158">
        <v>1876.0</v>
      </c>
      <c r="I143" s="158" t="s">
        <v>430</v>
      </c>
      <c r="J143" s="158" t="s">
        <v>423</v>
      </c>
      <c r="K143" s="158">
        <v>1.6197049538E10</v>
      </c>
      <c r="L143" s="158">
        <v>9.5403949215E10</v>
      </c>
      <c r="M143" s="158">
        <v>7.3706119E7</v>
      </c>
      <c r="N143" s="158" t="s">
        <v>446</v>
      </c>
      <c r="O143" s="158" t="s">
        <v>447</v>
      </c>
      <c r="P143" s="162">
        <v>10900.0</v>
      </c>
      <c r="Q143" s="158">
        <v>1.0</v>
      </c>
      <c r="R143" s="162">
        <v>10900.0</v>
      </c>
      <c r="S143" s="158">
        <v>0.0</v>
      </c>
      <c r="T143" s="162">
        <v>10900.0</v>
      </c>
      <c r="U143" s="158">
        <v>500.0</v>
      </c>
      <c r="V143" s="158">
        <v>0.0</v>
      </c>
      <c r="W143" s="158">
        <v>500.0</v>
      </c>
      <c r="X143" s="162">
        <v>9199.0</v>
      </c>
      <c r="Y143" s="158">
        <v>10.5</v>
      </c>
      <c r="Z143" s="158">
        <v>0.0</v>
      </c>
      <c r="AA143" s="162">
        <v>1092.0</v>
      </c>
      <c r="AB143" s="158">
        <v>109.0</v>
      </c>
    </row>
    <row r="144" hidden="1">
      <c r="A144" s="158" t="s">
        <v>420</v>
      </c>
      <c r="B144" s="159">
        <v>46180.0</v>
      </c>
      <c r="C144" s="160">
        <v>46174.0</v>
      </c>
      <c r="D144" s="159">
        <v>46176.0</v>
      </c>
      <c r="E144" s="166">
        <v>46176.0</v>
      </c>
      <c r="F144" s="158">
        <v>1.2100194773003E13</v>
      </c>
      <c r="G144" s="158" t="s">
        <v>421</v>
      </c>
      <c r="H144" s="158">
        <v>2584.0</v>
      </c>
      <c r="I144" s="158" t="s">
        <v>422</v>
      </c>
      <c r="J144" s="158" t="s">
        <v>423</v>
      </c>
      <c r="K144" s="158">
        <v>1.602127277E10</v>
      </c>
      <c r="L144" s="158">
        <v>9.4724789373E10</v>
      </c>
      <c r="M144" s="158">
        <v>6.9613442E7</v>
      </c>
      <c r="N144" s="158" t="s">
        <v>424</v>
      </c>
      <c r="O144" s="158" t="s">
        <v>425</v>
      </c>
      <c r="P144" s="162">
        <v>12900.0</v>
      </c>
      <c r="Q144" s="158">
        <v>1.0</v>
      </c>
      <c r="R144" s="162">
        <v>12900.0</v>
      </c>
      <c r="S144" s="158">
        <v>0.0</v>
      </c>
      <c r="T144" s="162">
        <v>12900.0</v>
      </c>
      <c r="U144" s="158">
        <v>200.0</v>
      </c>
      <c r="V144" s="158">
        <v>0.0</v>
      </c>
      <c r="W144" s="158">
        <v>200.0</v>
      </c>
      <c r="X144" s="162">
        <v>11233.0</v>
      </c>
      <c r="Y144" s="158">
        <v>10.5</v>
      </c>
      <c r="Z144" s="158">
        <v>0.0</v>
      </c>
      <c r="AA144" s="162">
        <v>1334.0</v>
      </c>
      <c r="AB144" s="158">
        <v>133.0</v>
      </c>
    </row>
    <row r="145" hidden="1">
      <c r="A145" s="158" t="s">
        <v>420</v>
      </c>
      <c r="B145" s="159">
        <v>46180.0</v>
      </c>
      <c r="C145" s="160">
        <v>46174.0</v>
      </c>
      <c r="D145" s="159">
        <v>46177.0</v>
      </c>
      <c r="E145" s="159">
        <v>46177.0</v>
      </c>
      <c r="F145" s="158">
        <v>3.100195685619E12</v>
      </c>
      <c r="G145" s="158" t="s">
        <v>421</v>
      </c>
      <c r="H145" s="158">
        <v>1876.0</v>
      </c>
      <c r="I145" s="158" t="s">
        <v>430</v>
      </c>
      <c r="J145" s="158" t="s">
        <v>423</v>
      </c>
      <c r="K145" s="158">
        <v>1.6197049538E10</v>
      </c>
      <c r="L145" s="158">
        <v>9.5403949215E10</v>
      </c>
      <c r="M145" s="158">
        <v>7.3706119E7</v>
      </c>
      <c r="N145" s="158" t="s">
        <v>446</v>
      </c>
      <c r="O145" s="158" t="s">
        <v>447</v>
      </c>
      <c r="P145" s="162">
        <v>10900.0</v>
      </c>
      <c r="Q145" s="158">
        <v>1.0</v>
      </c>
      <c r="R145" s="162">
        <v>10900.0</v>
      </c>
      <c r="S145" s="158">
        <v>0.0</v>
      </c>
      <c r="T145" s="162">
        <v>10900.0</v>
      </c>
      <c r="U145" s="158">
        <v>500.0</v>
      </c>
      <c r="V145" s="158">
        <v>0.0</v>
      </c>
      <c r="W145" s="158">
        <v>500.0</v>
      </c>
      <c r="X145" s="162">
        <v>9199.0</v>
      </c>
      <c r="Y145" s="158">
        <v>10.5</v>
      </c>
      <c r="Z145" s="158">
        <v>0.0</v>
      </c>
      <c r="AA145" s="162">
        <v>1092.0</v>
      </c>
      <c r="AB145" s="158">
        <v>109.0</v>
      </c>
    </row>
    <row r="146" hidden="1">
      <c r="A146" s="158" t="s">
        <v>420</v>
      </c>
      <c r="B146" s="159">
        <v>46180.0</v>
      </c>
      <c r="C146" s="160">
        <v>46174.0</v>
      </c>
      <c r="D146" s="159">
        <v>46178.0</v>
      </c>
      <c r="E146" s="159">
        <v>46178.0</v>
      </c>
      <c r="F146" s="158">
        <v>4.100195872451E12</v>
      </c>
      <c r="G146" s="158" t="s">
        <v>421</v>
      </c>
      <c r="H146" s="158">
        <v>1876.0</v>
      </c>
      <c r="I146" s="158" t="s">
        <v>430</v>
      </c>
      <c r="J146" s="158" t="s">
        <v>423</v>
      </c>
      <c r="K146" s="158">
        <v>1.6197049538E10</v>
      </c>
      <c r="L146" s="158">
        <v>9.5403949215E10</v>
      </c>
      <c r="M146" s="158">
        <v>7.3706119E7</v>
      </c>
      <c r="N146" s="158" t="s">
        <v>446</v>
      </c>
      <c r="O146" s="158" t="s">
        <v>447</v>
      </c>
      <c r="P146" s="162">
        <v>10900.0</v>
      </c>
      <c r="Q146" s="158">
        <v>1.0</v>
      </c>
      <c r="R146" s="162">
        <v>10900.0</v>
      </c>
      <c r="S146" s="158">
        <v>0.0</v>
      </c>
      <c r="T146" s="162">
        <v>10900.0</v>
      </c>
      <c r="U146" s="158">
        <v>500.0</v>
      </c>
      <c r="V146" s="158">
        <v>0.0</v>
      </c>
      <c r="W146" s="158">
        <v>500.0</v>
      </c>
      <c r="X146" s="162">
        <v>9199.0</v>
      </c>
      <c r="Y146" s="158">
        <v>10.5</v>
      </c>
      <c r="Z146" s="158">
        <v>0.0</v>
      </c>
      <c r="AA146" s="162">
        <v>1092.0</v>
      </c>
      <c r="AB146" s="158">
        <v>109.0</v>
      </c>
    </row>
    <row r="147" hidden="1">
      <c r="A147" s="158" t="s">
        <v>420</v>
      </c>
      <c r="B147" s="159">
        <v>46180.0</v>
      </c>
      <c r="C147" s="160">
        <v>46174.0</v>
      </c>
      <c r="D147" s="159">
        <v>46178.0</v>
      </c>
      <c r="E147" s="159">
        <v>46178.0</v>
      </c>
      <c r="F147" s="158">
        <v>1.8100195112911E13</v>
      </c>
      <c r="G147" s="158" t="s">
        <v>421</v>
      </c>
      <c r="H147" s="158">
        <v>2584.0</v>
      </c>
      <c r="I147" s="158" t="s">
        <v>422</v>
      </c>
      <c r="J147" s="158" t="s">
        <v>423</v>
      </c>
      <c r="K147" s="158">
        <v>1.6099312814E10</v>
      </c>
      <c r="L147" s="158">
        <v>9.501851033E10</v>
      </c>
      <c r="M147" s="158">
        <v>7.0897741E7</v>
      </c>
      <c r="N147" s="158" t="s">
        <v>438</v>
      </c>
      <c r="O147" s="158" t="s">
        <v>439</v>
      </c>
      <c r="P147" s="162">
        <v>9500.0</v>
      </c>
      <c r="Q147" s="158">
        <v>1.0</v>
      </c>
      <c r="R147" s="162">
        <v>9500.0</v>
      </c>
      <c r="S147" s="158">
        <v>0.0</v>
      </c>
      <c r="T147" s="162">
        <v>9500.0</v>
      </c>
      <c r="U147" s="158">
        <v>100.0</v>
      </c>
      <c r="V147" s="158">
        <v>0.0</v>
      </c>
      <c r="W147" s="158">
        <v>100.0</v>
      </c>
      <c r="X147" s="162">
        <v>8314.0</v>
      </c>
      <c r="Y147" s="158">
        <v>10.5</v>
      </c>
      <c r="Z147" s="158">
        <v>0.0</v>
      </c>
      <c r="AA147" s="158">
        <v>987.0</v>
      </c>
      <c r="AB147" s="158">
        <v>99.0</v>
      </c>
    </row>
    <row r="148" hidden="1">
      <c r="A148" s="158" t="s">
        <v>420</v>
      </c>
      <c r="B148" s="159">
        <v>46180.0</v>
      </c>
      <c r="C148" s="160">
        <v>46174.0</v>
      </c>
      <c r="D148" s="159">
        <v>46178.0</v>
      </c>
      <c r="E148" s="159">
        <v>46178.0</v>
      </c>
      <c r="F148" s="158">
        <v>1.2100195093082E13</v>
      </c>
      <c r="G148" s="158" t="s">
        <v>421</v>
      </c>
      <c r="H148" s="158">
        <v>1876.0</v>
      </c>
      <c r="I148" s="158" t="s">
        <v>430</v>
      </c>
      <c r="J148" s="158" t="s">
        <v>423</v>
      </c>
      <c r="K148" s="158">
        <v>1.6197049538E10</v>
      </c>
      <c r="L148" s="158">
        <v>9.5403949215E10</v>
      </c>
      <c r="M148" s="158">
        <v>7.3706119E7</v>
      </c>
      <c r="N148" s="158" t="s">
        <v>446</v>
      </c>
      <c r="O148" s="158" t="s">
        <v>447</v>
      </c>
      <c r="P148" s="162">
        <v>10900.0</v>
      </c>
      <c r="Q148" s="158">
        <v>1.0</v>
      </c>
      <c r="R148" s="162">
        <v>10900.0</v>
      </c>
      <c r="S148" s="158">
        <v>0.0</v>
      </c>
      <c r="T148" s="162">
        <v>10900.0</v>
      </c>
      <c r="U148" s="158">
        <v>500.0</v>
      </c>
      <c r="V148" s="158">
        <v>0.0</v>
      </c>
      <c r="W148" s="158">
        <v>500.0</v>
      </c>
      <c r="X148" s="162">
        <v>9199.0</v>
      </c>
      <c r="Y148" s="158">
        <v>10.5</v>
      </c>
      <c r="Z148" s="158">
        <v>0.0</v>
      </c>
      <c r="AA148" s="162">
        <v>1092.0</v>
      </c>
      <c r="AB148" s="158">
        <v>109.0</v>
      </c>
    </row>
    <row r="149" hidden="1">
      <c r="A149" s="158" t="s">
        <v>420</v>
      </c>
      <c r="B149" s="159">
        <v>46180.0</v>
      </c>
      <c r="C149" s="160">
        <v>46174.0</v>
      </c>
      <c r="D149" s="159">
        <v>46178.0</v>
      </c>
      <c r="E149" s="166">
        <v>46178.0</v>
      </c>
      <c r="F149" s="158">
        <v>2.3100195537121E13</v>
      </c>
      <c r="G149" s="158" t="s">
        <v>421</v>
      </c>
      <c r="H149" s="158">
        <v>2584.0</v>
      </c>
      <c r="I149" s="158" t="s">
        <v>422</v>
      </c>
      <c r="J149" s="158" t="s">
        <v>423</v>
      </c>
      <c r="K149" s="158">
        <v>1.602127277E10</v>
      </c>
      <c r="L149" s="158">
        <v>9.4724789373E10</v>
      </c>
      <c r="M149" s="158">
        <v>6.9613442E7</v>
      </c>
      <c r="N149" s="158" t="s">
        <v>424</v>
      </c>
      <c r="O149" s="158" t="s">
        <v>425</v>
      </c>
      <c r="P149" s="162">
        <v>12900.0</v>
      </c>
      <c r="Q149" s="158">
        <v>1.0</v>
      </c>
      <c r="R149" s="162">
        <v>12900.0</v>
      </c>
      <c r="S149" s="158">
        <v>0.0</v>
      </c>
      <c r="T149" s="162">
        <v>12900.0</v>
      </c>
      <c r="U149" s="158">
        <v>200.0</v>
      </c>
      <c r="V149" s="158">
        <v>0.0</v>
      </c>
      <c r="W149" s="158">
        <v>200.0</v>
      </c>
      <c r="X149" s="162">
        <v>11233.0</v>
      </c>
      <c r="Y149" s="158">
        <v>10.5</v>
      </c>
      <c r="Z149" s="158">
        <v>0.0</v>
      </c>
      <c r="AA149" s="162">
        <v>1334.0</v>
      </c>
      <c r="AB149" s="158">
        <v>133.0</v>
      </c>
    </row>
    <row r="150" hidden="1">
      <c r="A150" s="158" t="s">
        <v>420</v>
      </c>
      <c r="B150" s="159">
        <v>46180.0</v>
      </c>
      <c r="C150" s="160">
        <v>46174.0</v>
      </c>
      <c r="D150" s="159">
        <v>46179.0</v>
      </c>
      <c r="E150" s="166">
        <v>46179.0</v>
      </c>
      <c r="F150" s="158">
        <v>8.100196072572E12</v>
      </c>
      <c r="G150" s="158" t="s">
        <v>421</v>
      </c>
      <c r="H150" s="158">
        <v>2584.0</v>
      </c>
      <c r="I150" s="158" t="s">
        <v>422</v>
      </c>
      <c r="J150" s="158" t="s">
        <v>423</v>
      </c>
      <c r="K150" s="158">
        <v>1.602127277E10</v>
      </c>
      <c r="L150" s="158">
        <v>9.4724789373E10</v>
      </c>
      <c r="M150" s="158">
        <v>6.9613442E7</v>
      </c>
      <c r="N150" s="158" t="s">
        <v>424</v>
      </c>
      <c r="O150" s="158" t="s">
        <v>425</v>
      </c>
      <c r="P150" s="162">
        <v>12900.0</v>
      </c>
      <c r="Q150" s="158">
        <v>1.0</v>
      </c>
      <c r="R150" s="162">
        <v>12900.0</v>
      </c>
      <c r="S150" s="158">
        <v>0.0</v>
      </c>
      <c r="T150" s="162">
        <v>12900.0</v>
      </c>
      <c r="U150" s="158">
        <v>200.0</v>
      </c>
      <c r="V150" s="158">
        <v>0.0</v>
      </c>
      <c r="W150" s="158">
        <v>200.0</v>
      </c>
      <c r="X150" s="162">
        <v>11233.0</v>
      </c>
      <c r="Y150" s="158">
        <v>10.5</v>
      </c>
      <c r="Z150" s="158">
        <v>0.0</v>
      </c>
      <c r="AA150" s="162">
        <v>1334.0</v>
      </c>
      <c r="AB150" s="158">
        <v>133.0</v>
      </c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</sheetData>
  <autoFilter ref="$A$1:$AB$150">
    <filterColumn colId="13">
      <filters>
        <filter val="영디셀 [3종] 물결 마카롱 헤어집게 올림머리 집게핀 세트"/>
      </filters>
    </filterColumn>
    <filterColumn colId="14">
      <filters>
        <filter val="크림+블랙"/>
        <filter val="FREE 오렌지+블랙+그린"/>
        <filter val="FREE 화이트,아이보리,오토밀,옐로우,연보라,차콜,블랙"/>
        <filter val="FREE 블랙+스킨+블루+화이트"/>
        <filter val="컬러혼합 x 36p"/>
        <filter val="화이트 FREE 2개"/>
        <filter val="FREE 아이보리+블랙"/>
        <filter val="퍼블+아이보리+핫핑크"/>
        <filter val="FREE SIZE 블랙+화이트+연그레이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2026-03-04T03:53:13Z</dcterms:created>
  <dc:creator>지영 이</dc:creator>
</cp:coreProperties>
</file>